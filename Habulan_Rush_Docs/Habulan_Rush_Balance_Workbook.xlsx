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onfig" sheetId="2" state="visible" r:id="rId4"/>
    <sheet name="Movement" sheetId="3" state="visible" r:id="rId5"/>
    <sheet name="Skills" sheetId="4" state="visible" r:id="rId6"/>
    <sheet name="Diskarte" sheetId="5" state="visible" r:id="rId7"/>
    <sheet name="Scoring" sheetId="6" state="visible" r:id="rId8"/>
    <sheet name="Match Time" sheetId="7" state="visible" r:id="rId9"/>
    <sheet name="Playtest Log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<sst xmlns="http://schemas.openxmlformats.org/spreadsheetml/2006/main" count="370" uniqueCount="305">
  <si>
    <t xml:space="preserve">HABULAN RUSH — Balance Workbook</t>
  </si>
  <si>
    <t xml:space="preserve">Based on GDD v2.0. Blue = editable input · black = formula · green = linked from Config.</t>
  </si>
  <si>
    <t xml:space="preserve">• Config: every tunable number from the GDD. Change values here; other sheets recalculate.</t>
  </si>
  <si>
    <t xml:space="preserve">• Movement: chase maths (stamina cycle, pounce commitment, speed effects).</t>
  </si>
  <si>
    <t xml:space="preserve">• Skills: cooldown, uptime and uses per round for all 6 competition skills.</t>
  </si>
  <si>
    <t xml:space="preserve">• Diskarte: actions needed to fill the meter and a per-round earning scenario.</t>
  </si>
  <si>
    <t xml:space="preserve">• Scoring: points table and a 3-round, 6-player standings simulator.</t>
  </si>
  <si>
    <t xml:space="preserve">• Match Time: checks the 8–10 minute target (draft-per-round is a spec default, see GDD System Review).</t>
  </si>
  <si>
    <t xml:space="preserve">• Playtest Log: record sessions; flags pounce success outside the 40–60% target.</t>
  </si>
  <si>
    <t xml:space="preserve">• Values marked "SPEC DEFAULT" are not in the GDD and need team confirmation.</t>
  </si>
  <si>
    <t xml:space="preserve">Config — Source of Truth</t>
  </si>
  <si>
    <t xml:space="preserve">Mirror these values in ReplicatedStorage/Config. Do not hardcode balance values elsewhere.</t>
  </si>
  <si>
    <t xml:space="preserve">Key</t>
  </si>
  <si>
    <t xml:space="preserve">Parameter</t>
  </si>
  <si>
    <t xml:space="preserve">Value</t>
  </si>
  <si>
    <t xml:space="preserve">Unit</t>
  </si>
  <si>
    <t xml:space="preserve">GDD Ref</t>
  </si>
  <si>
    <t xml:space="preserve">Note</t>
  </si>
  <si>
    <t xml:space="preserve">walk</t>
  </si>
  <si>
    <t xml:space="preserve">Runner walk speed</t>
  </si>
  <si>
    <t xml:space="preserve">studs/s</t>
  </si>
  <si>
    <t xml:space="preserve">RM_01</t>
  </si>
  <si>
    <t xml:space="preserve">sprint</t>
  </si>
  <si>
    <t xml:space="preserve">Runner sprint speed</t>
  </si>
  <si>
    <t xml:space="preserve">RM_02</t>
  </si>
  <si>
    <t xml:space="preserve">stam</t>
  </si>
  <si>
    <t xml:space="preserve">Stamina max</t>
  </si>
  <si>
    <t xml:space="preserve">pts</t>
  </si>
  <si>
    <t xml:space="preserve">RM_03</t>
  </si>
  <si>
    <t xml:space="preserve">drain</t>
  </si>
  <si>
    <t xml:space="preserve">Stamina drain (sprint)</t>
  </si>
  <si>
    <t xml:space="preserve">pts/s</t>
  </si>
  <si>
    <t xml:space="preserve">regen</t>
  </si>
  <si>
    <t xml:space="preserve">Stamina regen</t>
  </si>
  <si>
    <t xml:space="preserve">rdelay</t>
  </si>
  <si>
    <t xml:space="preserve">Stamina regen delay</t>
  </si>
  <si>
    <t xml:space="preserve">s</t>
  </si>
  <si>
    <t xml:space="preserve">dashd</t>
  </si>
  <si>
    <t xml:space="preserve">Dash distance</t>
  </si>
  <si>
    <t xml:space="preserve">studs</t>
  </si>
  <si>
    <t xml:space="preserve">RM_04</t>
  </si>
  <si>
    <t xml:space="preserve">dasht</t>
  </si>
  <si>
    <t xml:space="preserve">Dash time</t>
  </si>
  <si>
    <t xml:space="preserve">dashcd</t>
  </si>
  <si>
    <t xml:space="preserve">Dash cooldown</t>
  </si>
  <si>
    <t xml:space="preserve">slidet</t>
  </si>
  <si>
    <t xml:space="preserve">Slide duration</t>
  </si>
  <si>
    <t xml:space="preserve">RM_06</t>
  </si>
  <si>
    <t xml:space="preserve">slidecd</t>
  </si>
  <si>
    <t xml:space="preserve">Slide cooldown</t>
  </si>
  <si>
    <t xml:space="preserve">taya</t>
  </si>
  <si>
    <t xml:space="preserve">Taya speed</t>
  </si>
  <si>
    <t xml:space="preserve">TM_01</t>
  </si>
  <si>
    <t xml:space="preserve">lockr</t>
  </si>
  <si>
    <t xml:space="preserve">Soft lock range</t>
  </si>
  <si>
    <t xml:space="preserve">TM_02</t>
  </si>
  <si>
    <t xml:space="preserve">lockb</t>
  </si>
  <si>
    <t xml:space="preserve">Soft lock break range</t>
  </si>
  <si>
    <t xml:space="preserve">wind</t>
  </si>
  <si>
    <t xml:space="preserve">Pounce wind-up</t>
  </si>
  <si>
    <t xml:space="preserve">TM_04</t>
  </si>
  <si>
    <t xml:space="preserve">lunged</t>
  </si>
  <si>
    <t xml:space="preserve">Pounce lunge distance</t>
  </si>
  <si>
    <t xml:space="preserve">TM_05</t>
  </si>
  <si>
    <t xml:space="preserve">lunges</t>
  </si>
  <si>
    <t xml:space="preserve">Pounce lunge speed</t>
  </si>
  <si>
    <t xml:space="preserve">hitr</t>
  </si>
  <si>
    <t xml:space="preserve">Pounce hit radius</t>
  </si>
  <si>
    <t xml:space="preserve">missst</t>
  </si>
  <si>
    <t xml:space="preserve">Pounce miss self-stun</t>
  </si>
  <si>
    <t xml:space="preserve">TM_06</t>
  </si>
  <si>
    <t xml:space="preserve">pcd</t>
  </si>
  <si>
    <t xml:space="preserve">Pounce cooldown</t>
  </si>
  <si>
    <t xml:space="preserve">TM_07</t>
  </si>
  <si>
    <t xml:space="preserve">touch</t>
  </si>
  <si>
    <t xml:space="preserve">Basic touch tag range</t>
  </si>
  <si>
    <t xml:space="preserve">TM_08</t>
  </si>
  <si>
    <t xml:space="preserve">safe</t>
  </si>
  <si>
    <t xml:space="preserve">Safe Window after tagging</t>
  </si>
  <si>
    <t xml:space="preserve">§5.1</t>
  </si>
  <si>
    <t xml:space="preserve">boost</t>
  </si>
  <si>
    <t xml:space="preserve">Post-tag speed boost</t>
  </si>
  <si>
    <t xml:space="preserve">fraction</t>
  </si>
  <si>
    <t xml:space="preserve">+20% for 2 s</t>
  </si>
  <si>
    <t xml:space="preserve">ldelay</t>
  </si>
  <si>
    <t xml:space="preserve">Lock Delay for new Taya</t>
  </si>
  <si>
    <t xml:space="preserve">lockcd</t>
  </si>
  <si>
    <t xml:space="preserve">Lock cooldown after break</t>
  </si>
  <si>
    <t xml:space="preserve">§5.3</t>
  </si>
  <si>
    <t xml:space="preserve">round</t>
  </si>
  <si>
    <t xml:space="preserve">Round length</t>
  </si>
  <si>
    <t xml:space="preserve">§3</t>
  </si>
  <si>
    <t xml:space="preserve">draft</t>
  </si>
  <si>
    <t xml:space="preserve">Skill Draft duration</t>
  </si>
  <si>
    <t xml:space="preserve">MS_02</t>
  </si>
  <si>
    <t xml:space="preserve">cd_</t>
  </si>
  <si>
    <t xml:space="preserve">Countdown duration</t>
  </si>
  <si>
    <t xml:space="preserve">MS_03</t>
  </si>
  <si>
    <t xml:space="preserve">rend</t>
  </si>
  <si>
    <t xml:space="preserve">Round End duration</t>
  </si>
  <si>
    <t xml:space="preserve">MS_05</t>
  </si>
  <si>
    <t xml:space="preserve">mend</t>
  </si>
  <si>
    <t xml:space="preserve">Match End duration</t>
  </si>
  <si>
    <t xml:space="preserve">MS_06</t>
  </si>
  <si>
    <t xml:space="preserve">rounds</t>
  </si>
  <si>
    <t xml:space="preserve">Rounds per match</t>
  </si>
  <si>
    <t xml:space="preserve">dmax</t>
  </si>
  <si>
    <t xml:space="preserve">Diskarte max</t>
  </si>
  <si>
    <t xml:space="preserve">§7.2</t>
  </si>
  <si>
    <t xml:space="preserve">close</t>
  </si>
  <si>
    <t xml:space="preserve">"Close chase" distance</t>
  </si>
  <si>
    <t xml:space="preserve">§7.3</t>
  </si>
  <si>
    <t xml:space="preserve">SPEC DEFAULT — undefined in GDD</t>
  </si>
  <si>
    <t xml:space="preserve">idash</t>
  </si>
  <si>
    <t xml:space="preserve">Dash invulnerability</t>
  </si>
  <si>
    <t xml:space="preserve">SPEC DEFAULT — "brief" in GDD</t>
  </si>
  <si>
    <t xml:space="preserve">tmin</t>
  </si>
  <si>
    <t xml:space="preserve">Target pounce/tag success min</t>
  </si>
  <si>
    <t xml:space="preserve">§17.1</t>
  </si>
  <si>
    <t xml:space="preserve">tmax</t>
  </si>
  <si>
    <t xml:space="preserve">Target pounce/tag success max</t>
  </si>
  <si>
    <t xml:space="preserve">mmin</t>
  </si>
  <si>
    <t xml:space="preserve">Match duration target min</t>
  </si>
  <si>
    <t xml:space="preserve">8 min</t>
  </si>
  <si>
    <t xml:space="preserve">mmax</t>
  </si>
  <si>
    <t xml:space="preserve">Match duration target max</t>
  </si>
  <si>
    <t xml:space="preserve">10 min</t>
  </si>
  <si>
    <t xml:space="preserve">draftpr</t>
  </si>
  <si>
    <t xml:space="preserve">Skill Draft every round? (1=yes, 0=once)</t>
  </si>
  <si>
    <t xml:space="preserve">flag</t>
  </si>
  <si>
    <t xml:space="preserve">§3.1</t>
  </si>
  <si>
    <t xml:space="preserve">SPEC DEFAULT — ambiguous in GDD</t>
  </si>
  <si>
    <t xml:space="preserve">Movement &amp; Chase Maths</t>
  </si>
  <si>
    <t xml:space="preserve">All values are formulas driven by Config.</t>
  </si>
  <si>
    <t xml:space="preserve">Metric</t>
  </si>
  <si>
    <t xml:space="preserve">Formula meaning / reading</t>
  </si>
  <si>
    <t xml:space="preserve">Sprint duration (s)</t>
  </si>
  <si>
    <t xml:space="preserve">Stamina max ÷ drain</t>
  </si>
  <si>
    <t xml:space="preserve">Sprint speed edge over Taya (studs/s)</t>
  </si>
  <si>
    <t xml:space="preserve">Positive = Runner faster while sprinting</t>
  </si>
  <si>
    <t xml:space="preserve">Gap gained in one full sprint (studs)</t>
  </si>
  <si>
    <t xml:space="preserve">Max separation gained from a full tank</t>
  </si>
  <si>
    <t xml:space="preserve">Walking deficit vs Taya (studs/s)</t>
  </si>
  <si>
    <t xml:space="preserve">Taya closes this much per second on a walking Runner</t>
  </si>
  <si>
    <t xml:space="preserve">Recovery to full (s)</t>
  </si>
  <si>
    <t xml:space="preserve">Regen delay + refill from empty</t>
  </si>
  <si>
    <t xml:space="preserve">Full sprint/recover cycle (s)</t>
  </si>
  <si>
    <t xml:space="preserve">Sprint to empty then refill</t>
  </si>
  <si>
    <t xml:space="preserve">Avg Runner speed over cycle (studs/s)</t>
  </si>
  <si>
    <t xml:space="preserve">Time-weighted speed if stamina is fully cycled</t>
  </si>
  <si>
    <t xml:space="preserve">Taya net closing speed over cycle (studs/s)</t>
  </si>
  <si>
    <t xml:space="preserve">&gt;0 means Taya slowly wins pure straight chases; skills/routing must decide</t>
  </si>
  <si>
    <t xml:space="preserve">Time for Taya to close 30 stud gap, walking (s)</t>
  </si>
  <si>
    <t xml:space="preserve">Illustrative gap of 30 studs</t>
  </si>
  <si>
    <t xml:space="preserve">Time for Taya to close 30 stud gap, cycling (s)</t>
  </si>
  <si>
    <t xml:space="preserve">Illustrative; shows how weak the straight-line Taya edge is</t>
  </si>
  <si>
    <t xml:space="preserve">Dash speed (studs/s)</t>
  </si>
  <si>
    <t xml:space="preserve">Burst escape</t>
  </si>
  <si>
    <t xml:space="preserve">Pounce lunge time (s)</t>
  </si>
  <si>
    <t xml:space="preserve">Distance ÷ speed</t>
  </si>
  <si>
    <t xml:space="preserve">Pounce commitment (wind-up + lunge) (s)</t>
  </si>
  <si>
    <t xml:space="preserve">Time Runner has to react after the tell</t>
  </si>
  <si>
    <t xml:space="preserve">Pounce total lockout on miss (s)</t>
  </si>
  <si>
    <t xml:space="preserve">Wind-up + lunge + self-stun</t>
  </si>
  <si>
    <t xml:space="preserve">Pounce reach incl. hit radius (studs)</t>
  </si>
  <si>
    <t xml:space="preserve">Effective danger distance</t>
  </si>
  <si>
    <t xml:space="preserve">Dash covers pounce reach?</t>
  </si>
  <si>
    <t xml:space="preserve">Design check: dash should not be an automatic escape</t>
  </si>
  <si>
    <t xml:space="preserve">Dash cooldown vs pounce cooldown (ratio)</t>
  </si>
  <si>
    <t xml:space="preserve">Runner dash available once per 2 Taya pounces</t>
  </si>
  <si>
    <t xml:space="preserve">Hatak Taya speed (studs/s)</t>
  </si>
  <si>
    <t xml:space="preserve">TS_03 +35%</t>
  </si>
  <si>
    <t xml:space="preserve">Hatak speed edge over Runner sprint (studs/s)</t>
  </si>
  <si>
    <t xml:space="preserve">Must stay brief (1.5 s)</t>
  </si>
  <si>
    <t xml:space="preserve">Hatak distance covered (studs)</t>
  </si>
  <si>
    <t xml:space="preserve">1.5 s duration</t>
  </si>
  <si>
    <t xml:space="preserve">Runner sprint speed inside Lambat (studs/s)</t>
  </si>
  <si>
    <t xml:space="preserve">TS_02 −40%</t>
  </si>
  <si>
    <t xml:space="preserve">Runner walk speed inside Lambat (studs/s)</t>
  </si>
  <si>
    <t xml:space="preserve">Post-tag boosted Runner speed (studs/s)</t>
  </si>
  <si>
    <t xml:space="preserve">Boost applies to walk speed (assumed)</t>
  </si>
  <si>
    <t xml:space="preserve">Boosted walk vs Taya (studs/s)</t>
  </si>
  <si>
    <t xml:space="preserve">Positive = ex-Taya can separate</t>
  </si>
  <si>
    <t xml:space="preserve">Skill Balance Table</t>
  </si>
  <si>
    <t xml:space="preserve">Blue = GDD values (edit to test). Uptime = effect duration ÷ cooldown.</t>
  </si>
  <si>
    <t xml:space="preserve">ID</t>
  </si>
  <si>
    <t xml:space="preserve">Name</t>
  </si>
  <si>
    <t xml:space="preserve">Role</t>
  </si>
  <si>
    <t xml:space="preserve">Type</t>
  </si>
  <si>
    <t xml:space="preserve">Cooldown (s)</t>
  </si>
  <si>
    <t xml:space="preserve">Effect duration (s)</t>
  </si>
  <si>
    <t xml:space="preserve">Range / radius (studs)</t>
  </si>
  <si>
    <t xml:space="preserve">Uptime %</t>
  </si>
  <si>
    <t xml:space="preserve">Uses in a round</t>
  </si>
  <si>
    <t xml:space="preserve">Counter / weakness</t>
  </si>
  <si>
    <t xml:space="preserve">RS_01</t>
  </si>
  <si>
    <t xml:space="preserve">Luksong Baka</t>
  </si>
  <si>
    <t xml:space="preserve">Runner</t>
  </si>
  <si>
    <t xml:space="preserve">Escape</t>
  </si>
  <si>
    <t xml:space="preserve">No air steering; readable</t>
  </si>
  <si>
    <t xml:space="preserve">RS_02</t>
  </si>
  <si>
    <t xml:space="preserve">Pekeng Takbo</t>
  </si>
  <si>
    <t xml:space="preserve">Decoy</t>
  </si>
  <si>
    <t xml:space="preserve">Taya can ignore it</t>
  </si>
  <si>
    <t xml:space="preserve">RS_03</t>
  </si>
  <si>
    <t xml:space="preserve">Tsinelas Throw</t>
  </si>
  <si>
    <t xml:space="preserve">Stun (1 s)</t>
  </si>
  <si>
    <t xml:space="preserve">Slow projectile, can miss</t>
  </si>
  <si>
    <t xml:space="preserve">TS_01</t>
  </si>
  <si>
    <t xml:space="preserve">Sigaw</t>
  </si>
  <si>
    <t xml:space="preserve">Taya</t>
  </si>
  <si>
    <t xml:space="preserve">Detection</t>
  </si>
  <si>
    <t xml:space="preserve">Runners hear it coming</t>
  </si>
  <si>
    <t xml:space="preserve">TS_02</t>
  </si>
  <si>
    <t xml:space="preserve">Lambat</t>
  </si>
  <si>
    <t xml:space="preserve">Area</t>
  </si>
  <si>
    <t xml:space="preserve">Can be jumped</t>
  </si>
  <si>
    <t xml:space="preserve">TS_03</t>
  </si>
  <si>
    <t xml:space="preserve">Hatak</t>
  </si>
  <si>
    <t xml:space="preserve">Speed</t>
  </si>
  <si>
    <t xml:space="preserve">Manual aim; lock disabled</t>
  </si>
  <si>
    <t xml:space="preserve">Avg Runner uptime</t>
  </si>
  <si>
    <t xml:space="preserve">Avg Taya uptime</t>
  </si>
  <si>
    <t xml:space="preserve">Rule check</t>
  </si>
  <si>
    <t xml:space="preserve">No skill should guarantee a tag or escape. Flag any single skill with uptime &gt; 30%:</t>
  </si>
  <si>
    <t xml:space="preserve">Diskarte Economy</t>
  </si>
  <si>
    <t xml:space="preserve">Meter max and gains from GDD §7. Gains are "suggested" in GDD — tune here.</t>
  </si>
  <si>
    <t xml:space="preserve">Action</t>
  </si>
  <si>
    <t xml:space="preserve">Gain</t>
  </si>
  <si>
    <t xml:space="preserve">Actions to fill (alone)</t>
  </si>
  <si>
    <t xml:space="preserve">Round count (scenario)</t>
  </si>
  <si>
    <t xml:space="preserve">Diskarte earned</t>
  </si>
  <si>
    <t xml:space="preserve">Break Taya target lock</t>
  </si>
  <si>
    <t xml:space="preserve">Pounce dodge</t>
  </si>
  <si>
    <t xml:space="preserve">Successful counter skill</t>
  </si>
  <si>
    <t xml:space="preserve">Escape with Taya within close chase distance</t>
  </si>
  <si>
    <t xml:space="preserve">Successful pounce</t>
  </si>
  <si>
    <t xml:space="preserve">Successful tag</t>
  </si>
  <si>
    <t xml:space="preserve">Catch Runner after escape skill</t>
  </si>
  <si>
    <t xml:space="preserve">Runner total</t>
  </si>
  <si>
    <t xml:space="preserve">Taya total</t>
  </si>
  <si>
    <t xml:space="preserve">Diskarte Moves possible (Runner / Taya)</t>
  </si>
  <si>
    <t xml:space="preserve">Target moves per round</t>
  </si>
  <si>
    <t xml:space="preserve">to</t>
  </si>
  <si>
    <t xml:space="preserve">Runner check</t>
  </si>
  <si>
    <t xml:space="preserve">Taya check</t>
  </si>
  <si>
    <t xml:space="preserve">Scenario counts (column E) are illustrative placeholders for a typical round, not measured data. Replace with Playtest Log averages.</t>
  </si>
  <si>
    <t xml:space="preserve">Scoring Simulator</t>
  </si>
  <si>
    <t xml:space="preserve">Enter Taya time (s) per player per round. Lowest Taya time ranks first. Ties share rank/points (SPEC DEFAULT).</t>
  </si>
  <si>
    <t xml:space="preserve">Rank</t>
  </si>
  <si>
    <t xml:space="preserve">Round points</t>
  </si>
  <si>
    <t xml:space="preserve">Player</t>
  </si>
  <si>
    <t xml:space="preserve">R1 Taya time</t>
  </si>
  <si>
    <t xml:space="preserve">R2 Taya time</t>
  </si>
  <si>
    <t xml:space="preserve">R3 Taya time</t>
  </si>
  <si>
    <t xml:space="preserve">R1 rank</t>
  </si>
  <si>
    <t xml:space="preserve">R2 rank</t>
  </si>
  <si>
    <t xml:space="preserve">R3 rank</t>
  </si>
  <si>
    <t xml:space="preserve">R1 pts</t>
  </si>
  <si>
    <t xml:space="preserve">R2 pts</t>
  </si>
  <si>
    <t xml:space="preserve">R3 pts</t>
  </si>
  <si>
    <t xml:space="preserve">Total pts</t>
  </si>
  <si>
    <t xml:space="preserve">Total Taya time</t>
  </si>
  <si>
    <t xml:space="preserve">Final rank</t>
  </si>
  <si>
    <t xml:space="preserve">Player 1</t>
  </si>
  <si>
    <t xml:space="preserve">Player 2</t>
  </si>
  <si>
    <t xml:space="preserve">Player 3</t>
  </si>
  <si>
    <t xml:space="preserve">Player 4</t>
  </si>
  <si>
    <t xml:space="preserve">Player 5</t>
  </si>
  <si>
    <t xml:space="preserve">Player 6</t>
  </si>
  <si>
    <t xml:space="preserve">Example data above (rows 8–13) is illustrative. Final rank: most points, tie-break lowest total Taya time (GDD §3.4). Sheet supports up to 6 players; extend rows for 8.</t>
  </si>
  <si>
    <t xml:space="preserve">Match Duration Check</t>
  </si>
  <si>
    <t xml:space="preserve">Target 8–10 minutes for 3 rounds (GDD §17.1). Excludes lobby wait.</t>
  </si>
  <si>
    <t xml:space="preserve">Component</t>
  </si>
  <si>
    <t xml:space="preserve">Seconds</t>
  </si>
  <si>
    <t xml:space="preserve">Skill Draft (all draft rounds)</t>
  </si>
  <si>
    <t xml:space="preserve">Depends on draft-every-round flag</t>
  </si>
  <si>
    <t xml:space="preserve">Countdown (all rounds)</t>
  </si>
  <si>
    <t xml:space="preserve">Round Live (all rounds)</t>
  </si>
  <si>
    <t xml:space="preserve">Round End (all rounds)</t>
  </si>
  <si>
    <t xml:space="preserve">Match End</t>
  </si>
  <si>
    <t xml:space="preserve">Total (s)</t>
  </si>
  <si>
    <t xml:space="preserve">Total (min)</t>
  </si>
  <si>
    <t xml:space="preserve">Within target?</t>
  </si>
  <si>
    <t xml:space="preserve">Playtest Log</t>
  </si>
  <si>
    <t xml:space="preserve">Add one row per round tested. Yellow cells are inputs; the first row is an EXAMPLE — overwrite it.</t>
  </si>
  <si>
    <t xml:space="preserve">Session</t>
  </si>
  <si>
    <t xml:space="preserve">Date</t>
  </si>
  <si>
    <t xml:space="preserve">Map</t>
  </si>
  <si>
    <t xml:space="preserve">Players</t>
  </si>
  <si>
    <t xml:space="preserve">Round #</t>
  </si>
  <si>
    <t xml:space="preserve">Pounce attempts</t>
  </si>
  <si>
    <t xml:space="preserve">Pounce hits</t>
  </si>
  <si>
    <t xml:space="preserve">Touch tags</t>
  </si>
  <si>
    <t xml:space="preserve">Pounces dodged</t>
  </si>
  <si>
    <t xml:space="preserve">Avg Taya time (s)</t>
  </si>
  <si>
    <t xml:space="preserve">Avg match min</t>
  </si>
  <si>
    <t xml:space="preserve">Pounce success %</t>
  </si>
  <si>
    <t xml:space="preserve">Balance flag</t>
  </si>
  <si>
    <t xml:space="preserve">Clarity "understood tag?" (Y%)</t>
  </si>
  <si>
    <t xml:space="preserve">Notes</t>
  </si>
  <si>
    <t xml:space="preserve">S001</t>
  </si>
  <si>
    <t xml:space="preserve">Barangay Kalsada</t>
  </si>
  <si>
    <t xml:space="preserve">EXAMPLE ROW — replace</t>
  </si>
  <si>
    <t xml:space="preserve">Averages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</si>
</sst>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%"/>
    <numFmt numFmtId="166" formatCode="0.00"/>
    <numFmt numFmtId="167" formatCode="0.0"/>
    <numFmt numFmtId="168" formatCode="0.000"/>
    <numFmt numFmtId="169" formatCode="@"/>
    <numFmt numFmtId="170" formatCode="0"/>
    <numFmt numFmtId="171" formatCode="mmm\ d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 t="s">
        <v>8</v>
      </c>
    </row>
    <row r="11" customFormat="false" ht="15" hidden="false" customHeight="false" outlineLevel="0" collapsed="false">
      <c r="A11" s="3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0"/>
    <col collapsed="false" customWidth="true" hidden="false" outlineLevel="0" max="4" min="3" style="0" width="10"/>
    <col collapsed="false" customWidth="true" hidden="false" outlineLevel="0" max="5" min="5" style="0" width="9"/>
    <col collapsed="false" customWidth="true" hidden="false" outlineLevel="0" max="6" min="6" style="0" width="36"/>
  </cols>
  <sheetData>
    <row r="1" customFormat="false" ht="17.35" hidden="false" customHeight="false" outlineLevel="0" collapsed="false">
      <c r="A1" s="1" t="s">
        <v>10</v>
      </c>
    </row>
    <row r="2" customFormat="false" ht="15" hidden="false" customHeight="false" outlineLevel="0" collapsed="false">
      <c r="A2" s="2" t="s">
        <v>11</v>
      </c>
    </row>
    <row r="4" customFormat="false" ht="15" hidden="false" customHeight="false" outlineLevel="0" collapsed="false">
      <c r="A4" s="4" t="s">
        <v>12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17</v>
      </c>
    </row>
    <row r="5" customFormat="false" ht="15" hidden="false" customHeight="false" outlineLevel="0" collapsed="false">
      <c r="A5" s="5" t="s">
        <v>18</v>
      </c>
      <c r="B5" s="5" t="s">
        <v>19</v>
      </c>
      <c r="C5" s="6" t="n">
        <v>16</v>
      </c>
      <c r="D5" s="5" t="s">
        <v>20</v>
      </c>
      <c r="E5" s="5" t="s">
        <v>21</v>
      </c>
      <c r="F5" s="5"/>
    </row>
    <row r="6" customFormat="false" ht="15" hidden="false" customHeight="false" outlineLevel="0" collapsed="false">
      <c r="A6" s="5" t="s">
        <v>22</v>
      </c>
      <c r="B6" s="5" t="s">
        <v>23</v>
      </c>
      <c r="C6" s="6" t="n">
        <v>21</v>
      </c>
      <c r="D6" s="5" t="s">
        <v>20</v>
      </c>
      <c r="E6" s="5" t="s">
        <v>24</v>
      </c>
      <c r="F6" s="5"/>
    </row>
    <row r="7" customFormat="false" ht="15" hidden="false" customHeight="false" outlineLevel="0" collapsed="false">
      <c r="A7" s="5" t="s">
        <v>25</v>
      </c>
      <c r="B7" s="5" t="s">
        <v>26</v>
      </c>
      <c r="C7" s="6" t="n">
        <v>100</v>
      </c>
      <c r="D7" s="5" t="s">
        <v>27</v>
      </c>
      <c r="E7" s="5" t="s">
        <v>28</v>
      </c>
      <c r="F7" s="5"/>
    </row>
    <row r="8" customFormat="false" ht="15" hidden="false" customHeight="false" outlineLevel="0" collapsed="false">
      <c r="A8" s="5" t="s">
        <v>29</v>
      </c>
      <c r="B8" s="5" t="s">
        <v>30</v>
      </c>
      <c r="C8" s="6" t="n">
        <v>20</v>
      </c>
      <c r="D8" s="5" t="s">
        <v>31</v>
      </c>
      <c r="E8" s="5" t="s">
        <v>28</v>
      </c>
      <c r="F8" s="5"/>
    </row>
    <row r="9" customFormat="false" ht="15" hidden="false" customHeight="false" outlineLevel="0" collapsed="false">
      <c r="A9" s="5" t="s">
        <v>32</v>
      </c>
      <c r="B9" s="5" t="s">
        <v>33</v>
      </c>
      <c r="C9" s="6" t="n">
        <v>12</v>
      </c>
      <c r="D9" s="5" t="s">
        <v>31</v>
      </c>
      <c r="E9" s="5" t="s">
        <v>28</v>
      </c>
      <c r="F9" s="5"/>
    </row>
    <row r="10" customFormat="false" ht="15" hidden="false" customHeight="false" outlineLevel="0" collapsed="false">
      <c r="A10" s="5" t="s">
        <v>34</v>
      </c>
      <c r="B10" s="5" t="s">
        <v>35</v>
      </c>
      <c r="C10" s="6" t="n">
        <v>1</v>
      </c>
      <c r="D10" s="5" t="s">
        <v>36</v>
      </c>
      <c r="E10" s="5" t="s">
        <v>28</v>
      </c>
      <c r="F10" s="5"/>
    </row>
    <row r="11" customFormat="false" ht="15" hidden="false" customHeight="false" outlineLevel="0" collapsed="false">
      <c r="A11" s="5" t="s">
        <v>37</v>
      </c>
      <c r="B11" s="5" t="s">
        <v>38</v>
      </c>
      <c r="C11" s="6" t="n">
        <v>12</v>
      </c>
      <c r="D11" s="5" t="s">
        <v>39</v>
      </c>
      <c r="E11" s="5" t="s">
        <v>40</v>
      </c>
      <c r="F11" s="5"/>
    </row>
    <row r="12" customFormat="false" ht="15" hidden="false" customHeight="false" outlineLevel="0" collapsed="false">
      <c r="A12" s="5" t="s">
        <v>41</v>
      </c>
      <c r="B12" s="5" t="s">
        <v>42</v>
      </c>
      <c r="C12" s="6" t="n">
        <v>0.2</v>
      </c>
      <c r="D12" s="5" t="s">
        <v>36</v>
      </c>
      <c r="E12" s="5" t="s">
        <v>40</v>
      </c>
      <c r="F12" s="5"/>
    </row>
    <row r="13" customFormat="false" ht="15" hidden="false" customHeight="false" outlineLevel="0" collapsed="false">
      <c r="A13" s="5" t="s">
        <v>43</v>
      </c>
      <c r="B13" s="5" t="s">
        <v>44</v>
      </c>
      <c r="C13" s="6" t="n">
        <v>6</v>
      </c>
      <c r="D13" s="5" t="s">
        <v>36</v>
      </c>
      <c r="E13" s="5" t="s">
        <v>40</v>
      </c>
      <c r="F13" s="5"/>
    </row>
    <row r="14" customFormat="false" ht="15" hidden="false" customHeight="false" outlineLevel="0" collapsed="false">
      <c r="A14" s="5" t="s">
        <v>45</v>
      </c>
      <c r="B14" s="5" t="s">
        <v>46</v>
      </c>
      <c r="C14" s="6" t="n">
        <v>0.6</v>
      </c>
      <c r="D14" s="5" t="s">
        <v>36</v>
      </c>
      <c r="E14" s="5" t="s">
        <v>47</v>
      </c>
      <c r="F14" s="5"/>
    </row>
    <row r="15" customFormat="false" ht="15" hidden="false" customHeight="false" outlineLevel="0" collapsed="false">
      <c r="A15" s="5" t="s">
        <v>48</v>
      </c>
      <c r="B15" s="5" t="s">
        <v>49</v>
      </c>
      <c r="C15" s="6" t="n">
        <v>3</v>
      </c>
      <c r="D15" s="5" t="s">
        <v>36</v>
      </c>
      <c r="E15" s="5" t="s">
        <v>47</v>
      </c>
      <c r="F15" s="5"/>
    </row>
    <row r="16" customFormat="false" ht="15" hidden="false" customHeight="false" outlineLevel="0" collapsed="false">
      <c r="A16" s="5" t="s">
        <v>50</v>
      </c>
      <c r="B16" s="5" t="s">
        <v>51</v>
      </c>
      <c r="C16" s="6" t="n">
        <v>18</v>
      </c>
      <c r="D16" s="5" t="s">
        <v>20</v>
      </c>
      <c r="E16" s="5" t="s">
        <v>52</v>
      </c>
      <c r="F16" s="5"/>
    </row>
    <row r="17" customFormat="false" ht="15" hidden="false" customHeight="false" outlineLevel="0" collapsed="false">
      <c r="A17" s="5" t="s">
        <v>53</v>
      </c>
      <c r="B17" s="5" t="s">
        <v>54</v>
      </c>
      <c r="C17" s="6" t="n">
        <v>40</v>
      </c>
      <c r="D17" s="5" t="s">
        <v>39</v>
      </c>
      <c r="E17" s="5" t="s">
        <v>55</v>
      </c>
      <c r="F17" s="5"/>
    </row>
    <row r="18" customFormat="false" ht="15" hidden="false" customHeight="false" outlineLevel="0" collapsed="false">
      <c r="A18" s="5" t="s">
        <v>56</v>
      </c>
      <c r="B18" s="5" t="s">
        <v>57</v>
      </c>
      <c r="C18" s="6" t="n">
        <v>55</v>
      </c>
      <c r="D18" s="5" t="s">
        <v>39</v>
      </c>
      <c r="E18" s="5" t="s">
        <v>55</v>
      </c>
      <c r="F18" s="5"/>
    </row>
    <row r="19" customFormat="false" ht="15" hidden="false" customHeight="false" outlineLevel="0" collapsed="false">
      <c r="A19" s="5" t="s">
        <v>58</v>
      </c>
      <c r="B19" s="5" t="s">
        <v>59</v>
      </c>
      <c r="C19" s="6" t="n">
        <v>0.35</v>
      </c>
      <c r="D19" s="5" t="s">
        <v>36</v>
      </c>
      <c r="E19" s="5" t="s">
        <v>60</v>
      </c>
      <c r="F19" s="5"/>
    </row>
    <row r="20" customFormat="false" ht="15" hidden="false" customHeight="false" outlineLevel="0" collapsed="false">
      <c r="A20" s="5" t="s">
        <v>61</v>
      </c>
      <c r="B20" s="5" t="s">
        <v>62</v>
      </c>
      <c r="C20" s="6" t="n">
        <v>14</v>
      </c>
      <c r="D20" s="5" t="s">
        <v>39</v>
      </c>
      <c r="E20" s="5" t="s">
        <v>63</v>
      </c>
      <c r="F20" s="5"/>
    </row>
    <row r="21" customFormat="false" ht="15" hidden="false" customHeight="false" outlineLevel="0" collapsed="false">
      <c r="A21" s="5" t="s">
        <v>64</v>
      </c>
      <c r="B21" s="5" t="s">
        <v>65</v>
      </c>
      <c r="C21" s="6" t="n">
        <v>45</v>
      </c>
      <c r="D21" s="5" t="s">
        <v>20</v>
      </c>
      <c r="E21" s="5" t="s">
        <v>63</v>
      </c>
      <c r="F21" s="5"/>
    </row>
    <row r="22" customFormat="false" ht="15" hidden="false" customHeight="false" outlineLevel="0" collapsed="false">
      <c r="A22" s="5" t="s">
        <v>66</v>
      </c>
      <c r="B22" s="5" t="s">
        <v>67</v>
      </c>
      <c r="C22" s="6" t="n">
        <v>4</v>
      </c>
      <c r="D22" s="5" t="s">
        <v>39</v>
      </c>
      <c r="E22" s="5" t="s">
        <v>63</v>
      </c>
      <c r="F22" s="5"/>
    </row>
    <row r="23" customFormat="false" ht="15" hidden="false" customHeight="false" outlineLevel="0" collapsed="false">
      <c r="A23" s="5" t="s">
        <v>68</v>
      </c>
      <c r="B23" s="5" t="s">
        <v>69</v>
      </c>
      <c r="C23" s="6" t="n">
        <v>1</v>
      </c>
      <c r="D23" s="5" t="s">
        <v>36</v>
      </c>
      <c r="E23" s="5" t="s">
        <v>70</v>
      </c>
      <c r="F23" s="5"/>
    </row>
    <row r="24" customFormat="false" ht="15" hidden="false" customHeight="false" outlineLevel="0" collapsed="false">
      <c r="A24" s="5" t="s">
        <v>71</v>
      </c>
      <c r="B24" s="5" t="s">
        <v>72</v>
      </c>
      <c r="C24" s="6" t="n">
        <v>3</v>
      </c>
      <c r="D24" s="5" t="s">
        <v>36</v>
      </c>
      <c r="E24" s="5" t="s">
        <v>73</v>
      </c>
      <c r="F24" s="5"/>
    </row>
    <row r="25" customFormat="false" ht="15" hidden="false" customHeight="false" outlineLevel="0" collapsed="false">
      <c r="A25" s="5" t="s">
        <v>74</v>
      </c>
      <c r="B25" s="5" t="s">
        <v>75</v>
      </c>
      <c r="C25" s="6" t="n">
        <v>3</v>
      </c>
      <c r="D25" s="5" t="s">
        <v>39</v>
      </c>
      <c r="E25" s="5" t="s">
        <v>76</v>
      </c>
      <c r="F25" s="5"/>
    </row>
    <row r="26" customFormat="false" ht="15" hidden="false" customHeight="false" outlineLevel="0" collapsed="false">
      <c r="A26" s="5" t="s">
        <v>77</v>
      </c>
      <c r="B26" s="5" t="s">
        <v>78</v>
      </c>
      <c r="C26" s="6" t="n">
        <v>2</v>
      </c>
      <c r="D26" s="5" t="s">
        <v>36</v>
      </c>
      <c r="E26" s="5" t="s">
        <v>79</v>
      </c>
      <c r="F26" s="5"/>
    </row>
    <row r="27" customFormat="false" ht="15" hidden="false" customHeight="false" outlineLevel="0" collapsed="false">
      <c r="A27" s="5" t="s">
        <v>80</v>
      </c>
      <c r="B27" s="5" t="s">
        <v>81</v>
      </c>
      <c r="C27" s="7" t="n">
        <v>0.2</v>
      </c>
      <c r="D27" s="5" t="s">
        <v>82</v>
      </c>
      <c r="E27" s="5" t="s">
        <v>79</v>
      </c>
      <c r="F27" s="5" t="s">
        <v>83</v>
      </c>
    </row>
    <row r="28" customFormat="false" ht="15" hidden="false" customHeight="false" outlineLevel="0" collapsed="false">
      <c r="A28" s="5" t="s">
        <v>84</v>
      </c>
      <c r="B28" s="5" t="s">
        <v>85</v>
      </c>
      <c r="C28" s="6" t="n">
        <v>1</v>
      </c>
      <c r="D28" s="5" t="s">
        <v>36</v>
      </c>
      <c r="E28" s="5" t="s">
        <v>79</v>
      </c>
      <c r="F28" s="5"/>
    </row>
    <row r="29" customFormat="false" ht="15" hidden="false" customHeight="false" outlineLevel="0" collapsed="false">
      <c r="A29" s="5" t="s">
        <v>86</v>
      </c>
      <c r="B29" s="5" t="s">
        <v>87</v>
      </c>
      <c r="C29" s="6" t="n">
        <v>4</v>
      </c>
      <c r="D29" s="5" t="s">
        <v>36</v>
      </c>
      <c r="E29" s="5" t="s">
        <v>88</v>
      </c>
      <c r="F29" s="5"/>
    </row>
    <row r="30" customFormat="false" ht="15" hidden="false" customHeight="false" outlineLevel="0" collapsed="false">
      <c r="A30" s="5" t="s">
        <v>89</v>
      </c>
      <c r="B30" s="5" t="s">
        <v>90</v>
      </c>
      <c r="C30" s="6" t="n">
        <v>150</v>
      </c>
      <c r="D30" s="5" t="s">
        <v>36</v>
      </c>
      <c r="E30" s="5" t="s">
        <v>91</v>
      </c>
      <c r="F30" s="5"/>
    </row>
    <row r="31" customFormat="false" ht="15" hidden="false" customHeight="false" outlineLevel="0" collapsed="false">
      <c r="A31" s="5" t="s">
        <v>92</v>
      </c>
      <c r="B31" s="5" t="s">
        <v>93</v>
      </c>
      <c r="C31" s="6" t="n">
        <v>12</v>
      </c>
      <c r="D31" s="5" t="s">
        <v>36</v>
      </c>
      <c r="E31" s="5" t="s">
        <v>94</v>
      </c>
      <c r="F31" s="5"/>
    </row>
    <row r="32" customFormat="false" ht="15" hidden="false" customHeight="false" outlineLevel="0" collapsed="false">
      <c r="A32" s="5" t="s">
        <v>95</v>
      </c>
      <c r="B32" s="5" t="s">
        <v>96</v>
      </c>
      <c r="C32" s="6" t="n">
        <v>5</v>
      </c>
      <c r="D32" s="5" t="s">
        <v>36</v>
      </c>
      <c r="E32" s="5" t="s">
        <v>97</v>
      </c>
      <c r="F32" s="5"/>
    </row>
    <row r="33" customFormat="false" ht="15" hidden="false" customHeight="false" outlineLevel="0" collapsed="false">
      <c r="A33" s="5" t="s">
        <v>98</v>
      </c>
      <c r="B33" s="5" t="s">
        <v>99</v>
      </c>
      <c r="C33" s="6" t="n">
        <v>8</v>
      </c>
      <c r="D33" s="5" t="s">
        <v>36</v>
      </c>
      <c r="E33" s="5" t="s">
        <v>100</v>
      </c>
      <c r="F33" s="5"/>
    </row>
    <row r="34" customFormat="false" ht="15" hidden="false" customHeight="false" outlineLevel="0" collapsed="false">
      <c r="A34" s="5" t="s">
        <v>101</v>
      </c>
      <c r="B34" s="5" t="s">
        <v>102</v>
      </c>
      <c r="C34" s="6" t="n">
        <v>15</v>
      </c>
      <c r="D34" s="5" t="s">
        <v>36</v>
      </c>
      <c r="E34" s="5" t="s">
        <v>103</v>
      </c>
      <c r="F34" s="5"/>
    </row>
    <row r="35" customFormat="false" ht="15" hidden="false" customHeight="false" outlineLevel="0" collapsed="false">
      <c r="A35" s="5" t="s">
        <v>104</v>
      </c>
      <c r="B35" s="5" t="s">
        <v>105</v>
      </c>
      <c r="C35" s="6" t="n">
        <v>3</v>
      </c>
      <c r="D35" s="5" t="s">
        <v>104</v>
      </c>
      <c r="E35" s="5" t="s">
        <v>91</v>
      </c>
      <c r="F35" s="5"/>
    </row>
    <row r="36" customFormat="false" ht="15" hidden="false" customHeight="false" outlineLevel="0" collapsed="false">
      <c r="A36" s="5" t="s">
        <v>106</v>
      </c>
      <c r="B36" s="5" t="s">
        <v>107</v>
      </c>
      <c r="C36" s="6" t="n">
        <v>100</v>
      </c>
      <c r="D36" s="5" t="s">
        <v>27</v>
      </c>
      <c r="E36" s="5" t="s">
        <v>108</v>
      </c>
      <c r="F36" s="5"/>
    </row>
    <row r="37" customFormat="false" ht="15" hidden="false" customHeight="false" outlineLevel="0" collapsed="false">
      <c r="A37" s="5" t="s">
        <v>109</v>
      </c>
      <c r="B37" s="5" t="s">
        <v>110</v>
      </c>
      <c r="C37" s="6" t="n">
        <v>10</v>
      </c>
      <c r="D37" s="5" t="s">
        <v>39</v>
      </c>
      <c r="E37" s="5" t="s">
        <v>111</v>
      </c>
      <c r="F37" s="5" t="s">
        <v>112</v>
      </c>
    </row>
    <row r="38" customFormat="false" ht="15" hidden="false" customHeight="false" outlineLevel="0" collapsed="false">
      <c r="A38" s="5" t="s">
        <v>113</v>
      </c>
      <c r="B38" s="5" t="s">
        <v>114</v>
      </c>
      <c r="C38" s="6" t="n">
        <v>0.15</v>
      </c>
      <c r="D38" s="5" t="s">
        <v>36</v>
      </c>
      <c r="E38" s="5" t="s">
        <v>40</v>
      </c>
      <c r="F38" s="5" t="s">
        <v>115</v>
      </c>
    </row>
    <row r="39" customFormat="false" ht="15" hidden="false" customHeight="false" outlineLevel="0" collapsed="false">
      <c r="A39" s="5" t="s">
        <v>116</v>
      </c>
      <c r="B39" s="5" t="s">
        <v>117</v>
      </c>
      <c r="C39" s="7" t="n">
        <v>0.4</v>
      </c>
      <c r="D39" s="5" t="s">
        <v>82</v>
      </c>
      <c r="E39" s="5" t="s">
        <v>118</v>
      </c>
      <c r="F39" s="5"/>
    </row>
    <row r="40" customFormat="false" ht="15" hidden="false" customHeight="false" outlineLevel="0" collapsed="false">
      <c r="A40" s="5" t="s">
        <v>119</v>
      </c>
      <c r="B40" s="5" t="s">
        <v>120</v>
      </c>
      <c r="C40" s="7" t="n">
        <v>0.6</v>
      </c>
      <c r="D40" s="5" t="s">
        <v>82</v>
      </c>
      <c r="E40" s="5" t="s">
        <v>118</v>
      </c>
      <c r="F40" s="5"/>
    </row>
    <row r="41" customFormat="false" ht="15" hidden="false" customHeight="false" outlineLevel="0" collapsed="false">
      <c r="A41" s="5" t="s">
        <v>121</v>
      </c>
      <c r="B41" s="5" t="s">
        <v>122</v>
      </c>
      <c r="C41" s="6" t="n">
        <v>480</v>
      </c>
      <c r="D41" s="5" t="s">
        <v>36</v>
      </c>
      <c r="E41" s="5" t="s">
        <v>118</v>
      </c>
      <c r="F41" s="5" t="s">
        <v>123</v>
      </c>
    </row>
    <row r="42" customFormat="false" ht="15" hidden="false" customHeight="false" outlineLevel="0" collapsed="false">
      <c r="A42" s="5" t="s">
        <v>124</v>
      </c>
      <c r="B42" s="5" t="s">
        <v>125</v>
      </c>
      <c r="C42" s="6" t="n">
        <v>600</v>
      </c>
      <c r="D42" s="5" t="s">
        <v>36</v>
      </c>
      <c r="E42" s="5" t="s">
        <v>118</v>
      </c>
      <c r="F42" s="5" t="s">
        <v>126</v>
      </c>
    </row>
    <row r="43" customFormat="false" ht="15" hidden="false" customHeight="false" outlineLevel="0" collapsed="false">
      <c r="A43" s="5" t="s">
        <v>127</v>
      </c>
      <c r="B43" s="5" t="s">
        <v>128</v>
      </c>
      <c r="C43" s="6" t="n">
        <v>1</v>
      </c>
      <c r="D43" s="5" t="s">
        <v>129</v>
      </c>
      <c r="E43" s="5" t="s">
        <v>130</v>
      </c>
      <c r="F43" s="5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2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132</v>
      </c>
    </row>
    <row r="2" customFormat="false" ht="15" hidden="false" customHeight="false" outlineLevel="0" collapsed="false">
      <c r="A2" s="2" t="s">
        <v>133</v>
      </c>
    </row>
    <row r="4" customFormat="false" ht="15" hidden="false" customHeight="false" outlineLevel="0" collapsed="false">
      <c r="A4" s="4" t="s">
        <v>134</v>
      </c>
      <c r="B4" s="4" t="s">
        <v>14</v>
      </c>
      <c r="C4" s="4" t="s">
        <v>135</v>
      </c>
    </row>
    <row r="5" customFormat="false" ht="15" hidden="false" customHeight="false" outlineLevel="0" collapsed="false">
      <c r="A5" s="5" t="s">
        <v>136</v>
      </c>
      <c r="B5" s="8" t="n">
        <f aca="false">Config!$C$7/Config!$C$8</f>
        <v>5</v>
      </c>
      <c r="C5" s="5" t="s">
        <v>137</v>
      </c>
    </row>
    <row r="6" customFormat="false" ht="15" hidden="false" customHeight="false" outlineLevel="0" collapsed="false">
      <c r="A6" s="5" t="s">
        <v>138</v>
      </c>
      <c r="B6" s="9" t="n">
        <f aca="false">Config!$C$6-Config!$C$16</f>
        <v>3</v>
      </c>
      <c r="C6" s="5" t="s">
        <v>139</v>
      </c>
    </row>
    <row r="7" customFormat="false" ht="15" hidden="false" customHeight="false" outlineLevel="0" collapsed="false">
      <c r="A7" s="5" t="s">
        <v>140</v>
      </c>
      <c r="B7" s="9" t="n">
        <f aca="false">B6*B5</f>
        <v>15</v>
      </c>
      <c r="C7" s="5" t="s">
        <v>141</v>
      </c>
    </row>
    <row r="8" customFormat="false" ht="15" hidden="false" customHeight="false" outlineLevel="0" collapsed="false">
      <c r="A8" s="5" t="s">
        <v>142</v>
      </c>
      <c r="B8" s="9" t="n">
        <f aca="false">Config!$C$16-Config!$C$5</f>
        <v>2</v>
      </c>
      <c r="C8" s="5" t="s">
        <v>143</v>
      </c>
    </row>
    <row r="9" customFormat="false" ht="15" hidden="false" customHeight="false" outlineLevel="0" collapsed="false">
      <c r="A9" s="5" t="s">
        <v>144</v>
      </c>
      <c r="B9" s="8" t="n">
        <f aca="false">Config!$C$10+Config!$C$7/Config!$C$9</f>
        <v>9.33333333333333</v>
      </c>
      <c r="C9" s="5" t="s">
        <v>145</v>
      </c>
    </row>
    <row r="10" customFormat="false" ht="15" hidden="false" customHeight="false" outlineLevel="0" collapsed="false">
      <c r="A10" s="5" t="s">
        <v>146</v>
      </c>
      <c r="B10" s="8" t="n">
        <f aca="false">B5+B9</f>
        <v>14.3333333333333</v>
      </c>
      <c r="C10" s="5" t="s">
        <v>147</v>
      </c>
    </row>
    <row r="11" customFormat="false" ht="15" hidden="false" customHeight="false" outlineLevel="0" collapsed="false">
      <c r="A11" s="5" t="s">
        <v>148</v>
      </c>
      <c r="B11" s="8" t="n">
        <f aca="false">(Config!$C$6*B5+Config!$C$5*B9)/B10</f>
        <v>17.7441860465116</v>
      </c>
      <c r="C11" s="5" t="s">
        <v>149</v>
      </c>
    </row>
    <row r="12" customFormat="false" ht="15" hidden="false" customHeight="false" outlineLevel="0" collapsed="false">
      <c r="A12" s="5" t="s">
        <v>150</v>
      </c>
      <c r="B12" s="8" t="n">
        <f aca="false">Config!$C$16-B11</f>
        <v>0.255813953488371</v>
      </c>
      <c r="C12" s="5" t="s">
        <v>151</v>
      </c>
    </row>
    <row r="13" customFormat="false" ht="15" hidden="false" customHeight="false" outlineLevel="0" collapsed="false">
      <c r="A13" s="5" t="s">
        <v>152</v>
      </c>
      <c r="B13" s="9" t="n">
        <f aca="false">30/B8</f>
        <v>15</v>
      </c>
      <c r="C13" s="5" t="s">
        <v>153</v>
      </c>
    </row>
    <row r="14" customFormat="false" ht="15" hidden="false" customHeight="false" outlineLevel="0" collapsed="false">
      <c r="A14" s="5" t="s">
        <v>154</v>
      </c>
      <c r="B14" s="9" t="n">
        <f aca="false">IF(B12&gt;0,30/B12,"never")</f>
        <v>117.272727272728</v>
      </c>
      <c r="C14" s="5" t="s">
        <v>155</v>
      </c>
    </row>
    <row r="15" customFormat="false" ht="15" hidden="false" customHeight="false" outlineLevel="0" collapsed="false">
      <c r="A15" s="5" t="s">
        <v>156</v>
      </c>
      <c r="B15" s="9" t="n">
        <f aca="false">Config!$C$11/Config!$C$12</f>
        <v>60</v>
      </c>
      <c r="C15" s="5" t="s">
        <v>157</v>
      </c>
    </row>
    <row r="16" customFormat="false" ht="15" hidden="false" customHeight="false" outlineLevel="0" collapsed="false">
      <c r="A16" s="5" t="s">
        <v>158</v>
      </c>
      <c r="B16" s="10" t="n">
        <f aca="false">Config!$C$20/Config!$C$21</f>
        <v>0.311111111111111</v>
      </c>
      <c r="C16" s="5" t="s">
        <v>159</v>
      </c>
    </row>
    <row r="17" customFormat="false" ht="15" hidden="false" customHeight="false" outlineLevel="0" collapsed="false">
      <c r="A17" s="5" t="s">
        <v>160</v>
      </c>
      <c r="B17" s="10" t="n">
        <f aca="false">Config!$C$19+B16</f>
        <v>0.661111111111111</v>
      </c>
      <c r="C17" s="5" t="s">
        <v>161</v>
      </c>
    </row>
    <row r="18" customFormat="false" ht="15" hidden="false" customHeight="false" outlineLevel="0" collapsed="false">
      <c r="A18" s="5" t="s">
        <v>162</v>
      </c>
      <c r="B18" s="8" t="n">
        <f aca="false">B17+Config!$C$23</f>
        <v>1.66111111111111</v>
      </c>
      <c r="C18" s="5" t="s">
        <v>163</v>
      </c>
    </row>
    <row r="19" customFormat="false" ht="15" hidden="false" customHeight="false" outlineLevel="0" collapsed="false">
      <c r="A19" s="5" t="s">
        <v>164</v>
      </c>
      <c r="B19" s="9" t="n">
        <f aca="false">Config!$C$20+Config!$C$22</f>
        <v>18</v>
      </c>
      <c r="C19" s="5" t="s">
        <v>165</v>
      </c>
    </row>
    <row r="20" customFormat="false" ht="35.05" hidden="false" customHeight="false" outlineLevel="0" collapsed="false">
      <c r="A20" s="5" t="s">
        <v>166</v>
      </c>
      <c r="B20" s="11" t="str">
        <f aca="false">IF(Config!$C$11&gt;=B19,"Yes","No — dash alone cannot outrun full reach; timing/dodge needed")</f>
        <v>No — dash alone cannot outrun full reach; timing/dodge needed</v>
      </c>
      <c r="C20" s="5" t="s">
        <v>167</v>
      </c>
    </row>
    <row r="21" customFormat="false" ht="15" hidden="false" customHeight="false" outlineLevel="0" collapsed="false">
      <c r="A21" s="5" t="s">
        <v>168</v>
      </c>
      <c r="B21" s="8" t="n">
        <f aca="false">Config!$C$13/Config!$C$24</f>
        <v>2</v>
      </c>
      <c r="C21" s="5" t="s">
        <v>169</v>
      </c>
    </row>
    <row r="22" customFormat="false" ht="15" hidden="false" customHeight="false" outlineLevel="0" collapsed="false">
      <c r="A22" s="5" t="s">
        <v>170</v>
      </c>
      <c r="B22" s="9" t="n">
        <f aca="false">Config!$C$16*(1+0.35)</f>
        <v>24.3</v>
      </c>
      <c r="C22" s="5" t="s">
        <v>171</v>
      </c>
    </row>
    <row r="23" customFormat="false" ht="15" hidden="false" customHeight="false" outlineLevel="0" collapsed="false">
      <c r="A23" s="5" t="s">
        <v>172</v>
      </c>
      <c r="B23" s="9" t="n">
        <f aca="false">B22-Config!$C$6</f>
        <v>3.3</v>
      </c>
      <c r="C23" s="5" t="s">
        <v>173</v>
      </c>
    </row>
    <row r="24" customFormat="false" ht="15" hidden="false" customHeight="false" outlineLevel="0" collapsed="false">
      <c r="A24" s="5" t="s">
        <v>174</v>
      </c>
      <c r="B24" s="9" t="n">
        <f aca="false">B22*1.5</f>
        <v>36.45</v>
      </c>
      <c r="C24" s="5" t="s">
        <v>175</v>
      </c>
    </row>
    <row r="25" customFormat="false" ht="15" hidden="false" customHeight="false" outlineLevel="0" collapsed="false">
      <c r="A25" s="5" t="s">
        <v>176</v>
      </c>
      <c r="B25" s="9" t="n">
        <f aca="false">Config!$C$6*(1-0.4)</f>
        <v>12.6</v>
      </c>
      <c r="C25" s="5" t="s">
        <v>177</v>
      </c>
    </row>
    <row r="26" customFormat="false" ht="15" hidden="false" customHeight="false" outlineLevel="0" collapsed="false">
      <c r="A26" s="5" t="s">
        <v>178</v>
      </c>
      <c r="B26" s="9" t="n">
        <f aca="false">Config!$C$5*(1-0.4)</f>
        <v>9.6</v>
      </c>
      <c r="C26" s="5" t="s">
        <v>177</v>
      </c>
    </row>
    <row r="27" customFormat="false" ht="15" hidden="false" customHeight="false" outlineLevel="0" collapsed="false">
      <c r="A27" s="5" t="s">
        <v>179</v>
      </c>
      <c r="B27" s="9" t="n">
        <f aca="false">Config!$C$5*(1+Config!$C$27)</f>
        <v>19.2</v>
      </c>
      <c r="C27" s="5" t="s">
        <v>180</v>
      </c>
    </row>
    <row r="28" customFormat="false" ht="15" hidden="false" customHeight="false" outlineLevel="0" collapsed="false">
      <c r="A28" s="5" t="s">
        <v>181</v>
      </c>
      <c r="B28" s="9" t="n">
        <f aca="false">B27-Config!$C$16</f>
        <v>1.2</v>
      </c>
      <c r="C28" s="5" t="s">
        <v>182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9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34"/>
  </cols>
  <sheetData>
    <row r="1" customFormat="false" ht="17.35" hidden="false" customHeight="false" outlineLevel="0" collapsed="false">
      <c r="A1" s="1" t="s">
        <v>183</v>
      </c>
    </row>
    <row r="2" customFormat="false" ht="15" hidden="false" customHeight="false" outlineLevel="0" collapsed="false">
      <c r="A2" s="2" t="s">
        <v>184</v>
      </c>
    </row>
    <row r="4" customFormat="false" ht="23.85" hidden="false" customHeight="false" outlineLevel="0" collapsed="false">
      <c r="A4" s="4" t="s">
        <v>185</v>
      </c>
      <c r="B4" s="4" t="s">
        <v>186</v>
      </c>
      <c r="C4" s="4" t="s">
        <v>187</v>
      </c>
      <c r="D4" s="4" t="s">
        <v>188</v>
      </c>
      <c r="E4" s="4" t="s">
        <v>189</v>
      </c>
      <c r="F4" s="4" t="s">
        <v>190</v>
      </c>
      <c r="G4" s="4" t="s">
        <v>191</v>
      </c>
      <c r="H4" s="4" t="s">
        <v>192</v>
      </c>
      <c r="I4" s="4" t="s">
        <v>193</v>
      </c>
      <c r="J4" s="4" t="s">
        <v>194</v>
      </c>
    </row>
    <row r="5" customFormat="false" ht="15" hidden="false" customHeight="false" outlineLevel="0" collapsed="false">
      <c r="A5" s="5" t="s">
        <v>195</v>
      </c>
      <c r="B5" s="5" t="s">
        <v>196</v>
      </c>
      <c r="C5" s="5" t="s">
        <v>197</v>
      </c>
      <c r="D5" s="5" t="s">
        <v>198</v>
      </c>
      <c r="E5" s="6" t="n">
        <v>12</v>
      </c>
      <c r="F5" s="6" t="n">
        <v>0</v>
      </c>
      <c r="G5" s="6" t="n">
        <v>18</v>
      </c>
      <c r="H5" s="12" t="n">
        <f aca="false">IFERROR(F5/E5,0)</f>
        <v>0</v>
      </c>
      <c r="I5" s="13" t="n">
        <f aca="false">ROUNDDOWN(Config!$C$30/E5,0)+1</f>
        <v>13</v>
      </c>
      <c r="J5" s="5" t="s">
        <v>199</v>
      </c>
    </row>
    <row r="6" customFormat="false" ht="15" hidden="false" customHeight="false" outlineLevel="0" collapsed="false">
      <c r="A6" s="5" t="s">
        <v>200</v>
      </c>
      <c r="B6" s="5" t="s">
        <v>201</v>
      </c>
      <c r="C6" s="5" t="s">
        <v>197</v>
      </c>
      <c r="D6" s="5" t="s">
        <v>202</v>
      </c>
      <c r="E6" s="6" t="n">
        <v>18</v>
      </c>
      <c r="F6" s="6" t="n">
        <v>4</v>
      </c>
      <c r="G6" s="6" t="n">
        <v>0</v>
      </c>
      <c r="H6" s="12" t="n">
        <f aca="false">IFERROR(F6/E6,0)</f>
        <v>0.222222222222222</v>
      </c>
      <c r="I6" s="13" t="n">
        <f aca="false">ROUNDDOWN(Config!$C$30/E6,0)+1</f>
        <v>9</v>
      </c>
      <c r="J6" s="5" t="s">
        <v>203</v>
      </c>
    </row>
    <row r="7" customFormat="false" ht="15" hidden="false" customHeight="false" outlineLevel="0" collapsed="false">
      <c r="A7" s="5" t="s">
        <v>204</v>
      </c>
      <c r="B7" s="5" t="s">
        <v>205</v>
      </c>
      <c r="C7" s="5" t="s">
        <v>197</v>
      </c>
      <c r="D7" s="5" t="s">
        <v>206</v>
      </c>
      <c r="E7" s="6" t="n">
        <v>25</v>
      </c>
      <c r="F7" s="6" t="n">
        <v>1</v>
      </c>
      <c r="G7" s="6" t="n">
        <v>25</v>
      </c>
      <c r="H7" s="12" t="n">
        <f aca="false">IFERROR(F7/E7,0)</f>
        <v>0.04</v>
      </c>
      <c r="I7" s="13" t="n">
        <f aca="false">ROUNDDOWN(Config!$C$30/E7,0)+1</f>
        <v>7</v>
      </c>
      <c r="J7" s="5" t="s">
        <v>207</v>
      </c>
    </row>
    <row r="8" customFormat="false" ht="15" hidden="false" customHeight="false" outlineLevel="0" collapsed="false">
      <c r="A8" s="5" t="s">
        <v>208</v>
      </c>
      <c r="B8" s="5" t="s">
        <v>209</v>
      </c>
      <c r="C8" s="5" t="s">
        <v>210</v>
      </c>
      <c r="D8" s="5" t="s">
        <v>211</v>
      </c>
      <c r="E8" s="6" t="n">
        <v>20</v>
      </c>
      <c r="F8" s="6" t="n">
        <v>2</v>
      </c>
      <c r="G8" s="6" t="n">
        <v>40</v>
      </c>
      <c r="H8" s="12" t="n">
        <f aca="false">IFERROR(F8/E8,0)</f>
        <v>0.1</v>
      </c>
      <c r="I8" s="13" t="n">
        <f aca="false">ROUNDDOWN(Config!$C$30/E8,0)+1</f>
        <v>8</v>
      </c>
      <c r="J8" s="5" t="s">
        <v>212</v>
      </c>
    </row>
    <row r="9" customFormat="false" ht="15" hidden="false" customHeight="false" outlineLevel="0" collapsed="false">
      <c r="A9" s="5" t="s">
        <v>213</v>
      </c>
      <c r="B9" s="5" t="s">
        <v>214</v>
      </c>
      <c r="C9" s="5" t="s">
        <v>210</v>
      </c>
      <c r="D9" s="5" t="s">
        <v>215</v>
      </c>
      <c r="E9" s="6" t="n">
        <v>22</v>
      </c>
      <c r="F9" s="6" t="n">
        <v>5</v>
      </c>
      <c r="G9" s="6" t="n">
        <v>8</v>
      </c>
      <c r="H9" s="12" t="n">
        <f aca="false">IFERROR(F9/E9,0)</f>
        <v>0.227272727272727</v>
      </c>
      <c r="I9" s="13" t="n">
        <f aca="false">ROUNDDOWN(Config!$C$30/E9,0)+1</f>
        <v>7</v>
      </c>
      <c r="J9" s="5" t="s">
        <v>216</v>
      </c>
    </row>
    <row r="10" customFormat="false" ht="15" hidden="false" customHeight="false" outlineLevel="0" collapsed="false">
      <c r="A10" s="5" t="s">
        <v>217</v>
      </c>
      <c r="B10" s="5" t="s">
        <v>218</v>
      </c>
      <c r="C10" s="5" t="s">
        <v>210</v>
      </c>
      <c r="D10" s="5" t="s">
        <v>219</v>
      </c>
      <c r="E10" s="6" t="n">
        <v>15</v>
      </c>
      <c r="F10" s="6" t="n">
        <v>1.5</v>
      </c>
      <c r="G10" s="6" t="n">
        <v>0</v>
      </c>
      <c r="H10" s="12" t="n">
        <f aca="false">IFERROR(F10/E10,0)</f>
        <v>0.1</v>
      </c>
      <c r="I10" s="13" t="n">
        <f aca="false">ROUNDDOWN(Config!$C$30/E10,0)+1</f>
        <v>11</v>
      </c>
      <c r="J10" s="5" t="s">
        <v>220</v>
      </c>
    </row>
    <row r="12" customFormat="false" ht="35.05" hidden="false" customHeight="false" outlineLevel="0" collapsed="false">
      <c r="A12" s="14" t="s">
        <v>221</v>
      </c>
      <c r="H12" s="15" t="n">
        <f aca="false">AVERAGE(H5:H7)</f>
        <v>0.0874074074074074</v>
      </c>
    </row>
    <row r="13" customFormat="false" ht="35.05" hidden="false" customHeight="false" outlineLevel="0" collapsed="false">
      <c r="A13" s="14" t="s">
        <v>222</v>
      </c>
      <c r="H13" s="15" t="n">
        <f aca="false">AVERAGE(H8:H10)</f>
        <v>0.142424242424242</v>
      </c>
    </row>
    <row r="14" customFormat="false" ht="57.45" hidden="false" customHeight="false" outlineLevel="0" collapsed="false">
      <c r="A14" s="14" t="s">
        <v>223</v>
      </c>
      <c r="B14" s="5" t="s">
        <v>224</v>
      </c>
      <c r="H14" s="14" t="str">
        <f aca="false">IF(MAX(H5:H10)&gt;0.3,"REVIEW","OK")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3" min="3" style="0" width="8"/>
    <col collapsed="false" customWidth="true" hidden="false" outlineLevel="0" max="5" min="4" style="0" width="20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" t="s">
        <v>225</v>
      </c>
    </row>
    <row r="2" customFormat="false" ht="15" hidden="false" customHeight="false" outlineLevel="0" collapsed="false">
      <c r="A2" s="2" t="s">
        <v>226</v>
      </c>
    </row>
    <row r="4" customFormat="false" ht="23.85" hidden="false" customHeight="false" outlineLevel="0" collapsed="false">
      <c r="A4" s="4" t="s">
        <v>187</v>
      </c>
      <c r="B4" s="4" t="s">
        <v>227</v>
      </c>
      <c r="C4" s="4" t="s">
        <v>228</v>
      </c>
      <c r="D4" s="4" t="s">
        <v>229</v>
      </c>
      <c r="E4" s="4" t="s">
        <v>230</v>
      </c>
      <c r="F4" s="4" t="s">
        <v>231</v>
      </c>
    </row>
    <row r="5" customFormat="false" ht="15" hidden="false" customHeight="false" outlineLevel="0" collapsed="false">
      <c r="A5" s="5" t="s">
        <v>197</v>
      </c>
      <c r="B5" s="5" t="s">
        <v>232</v>
      </c>
      <c r="C5" s="6" t="n">
        <v>15</v>
      </c>
      <c r="D5" s="5" t="n">
        <f aca="false">ROUNDUP(Config!$C$36/C5,0)</f>
        <v>7</v>
      </c>
      <c r="E5" s="6" t="n">
        <v>2</v>
      </c>
      <c r="F5" s="5" t="n">
        <f aca="false">C5*E5</f>
        <v>30</v>
      </c>
    </row>
    <row r="6" customFormat="false" ht="15" hidden="false" customHeight="false" outlineLevel="0" collapsed="false">
      <c r="A6" s="5" t="s">
        <v>197</v>
      </c>
      <c r="B6" s="5" t="s">
        <v>233</v>
      </c>
      <c r="C6" s="6" t="n">
        <v>25</v>
      </c>
      <c r="D6" s="5" t="n">
        <f aca="false">ROUNDUP(Config!$C$36/C6,0)</f>
        <v>4</v>
      </c>
      <c r="E6" s="6" t="n">
        <v>2</v>
      </c>
      <c r="F6" s="5" t="n">
        <f aca="false">C6*E6</f>
        <v>50</v>
      </c>
    </row>
    <row r="7" customFormat="false" ht="15" hidden="false" customHeight="false" outlineLevel="0" collapsed="false">
      <c r="A7" s="5" t="s">
        <v>197</v>
      </c>
      <c r="B7" s="5" t="s">
        <v>234</v>
      </c>
      <c r="C7" s="6" t="n">
        <v>20</v>
      </c>
      <c r="D7" s="5" t="n">
        <f aca="false">ROUNDUP(Config!$C$36/C7,0)</f>
        <v>5</v>
      </c>
      <c r="E7" s="6" t="n">
        <v>1</v>
      </c>
      <c r="F7" s="5" t="n">
        <f aca="false">C7*E7</f>
        <v>20</v>
      </c>
    </row>
    <row r="8" customFormat="false" ht="15" hidden="false" customHeight="false" outlineLevel="0" collapsed="false">
      <c r="A8" s="5" t="s">
        <v>197</v>
      </c>
      <c r="B8" s="5" t="s">
        <v>235</v>
      </c>
      <c r="C8" s="6" t="n">
        <v>15</v>
      </c>
      <c r="D8" s="5" t="n">
        <f aca="false">ROUNDUP(Config!$C$36/C8,0)</f>
        <v>7</v>
      </c>
      <c r="E8" s="6" t="n">
        <v>1</v>
      </c>
      <c r="F8" s="5" t="n">
        <f aca="false">C8*E8</f>
        <v>15</v>
      </c>
    </row>
    <row r="9" customFormat="false" ht="15" hidden="false" customHeight="false" outlineLevel="0" collapsed="false">
      <c r="A9" s="5" t="s">
        <v>210</v>
      </c>
      <c r="B9" s="5" t="s">
        <v>236</v>
      </c>
      <c r="C9" s="6" t="n">
        <v>25</v>
      </c>
      <c r="D9" s="5" t="n">
        <f aca="false">ROUNDUP(Config!$C$36/C9,0)</f>
        <v>4</v>
      </c>
      <c r="E9" s="6" t="n">
        <v>2</v>
      </c>
      <c r="F9" s="5" t="n">
        <f aca="false">C9*E9</f>
        <v>50</v>
      </c>
    </row>
    <row r="10" customFormat="false" ht="15" hidden="false" customHeight="false" outlineLevel="0" collapsed="false">
      <c r="A10" s="5" t="s">
        <v>210</v>
      </c>
      <c r="B10" s="5" t="s">
        <v>237</v>
      </c>
      <c r="C10" s="6" t="n">
        <v>15</v>
      </c>
      <c r="D10" s="5" t="n">
        <f aca="false">ROUNDUP(Config!$C$36/C10,0)</f>
        <v>7</v>
      </c>
      <c r="E10" s="6" t="n">
        <v>2</v>
      </c>
      <c r="F10" s="5" t="n">
        <f aca="false">C10*E10</f>
        <v>30</v>
      </c>
    </row>
    <row r="11" customFormat="false" ht="15" hidden="false" customHeight="false" outlineLevel="0" collapsed="false">
      <c r="A11" s="5" t="s">
        <v>210</v>
      </c>
      <c r="B11" s="5" t="s">
        <v>238</v>
      </c>
      <c r="C11" s="6" t="n">
        <v>20</v>
      </c>
      <c r="D11" s="5" t="n">
        <f aca="false">ROUNDUP(Config!$C$36/C11,0)</f>
        <v>5</v>
      </c>
      <c r="E11" s="6" t="n">
        <v>0</v>
      </c>
      <c r="F11" s="5" t="n">
        <f aca="false">C11*E11</f>
        <v>0</v>
      </c>
    </row>
    <row r="12" customFormat="false" ht="15" hidden="false" customHeight="false" outlineLevel="0" collapsed="false">
      <c r="A12" s="5" t="s">
        <v>210</v>
      </c>
      <c r="B12" s="5" t="s">
        <v>234</v>
      </c>
      <c r="C12" s="6" t="n">
        <v>20</v>
      </c>
      <c r="D12" s="5" t="n">
        <f aca="false">ROUNDUP(Config!$C$36/C12,0)</f>
        <v>5</v>
      </c>
      <c r="E12" s="6" t="n">
        <v>1</v>
      </c>
      <c r="F12" s="5" t="n">
        <f aca="false">C12*E12</f>
        <v>20</v>
      </c>
    </row>
    <row r="14" customFormat="false" ht="15" hidden="false" customHeight="false" outlineLevel="0" collapsed="false">
      <c r="A14" s="14" t="s">
        <v>239</v>
      </c>
      <c r="F14" s="14" t="n">
        <f aca="false">SUM(F5:F8)</f>
        <v>115</v>
      </c>
    </row>
    <row r="15" customFormat="false" ht="15" hidden="false" customHeight="false" outlineLevel="0" collapsed="false">
      <c r="A15" s="14" t="s">
        <v>240</v>
      </c>
      <c r="F15" s="14" t="n">
        <f aca="false">SUM(F9:F12)</f>
        <v>100</v>
      </c>
    </row>
    <row r="16" customFormat="false" ht="57.45" hidden="false" customHeight="false" outlineLevel="0" collapsed="false">
      <c r="A16" s="14" t="s">
        <v>241</v>
      </c>
      <c r="E16" s="14" t="n">
        <f aca="false">ROUNDDOWN(F14/Config!$C$36,0)</f>
        <v>1</v>
      </c>
      <c r="F16" s="14" t="n">
        <f aca="false">ROUNDDOWN(F15/Config!$C$36,0)</f>
        <v>1</v>
      </c>
    </row>
    <row r="18" customFormat="false" ht="35.05" hidden="false" customHeight="false" outlineLevel="0" collapsed="false">
      <c r="A18" s="14" t="s">
        <v>242</v>
      </c>
      <c r="C18" s="6" t="n">
        <v>1</v>
      </c>
      <c r="D18" s="16" t="s">
        <v>243</v>
      </c>
      <c r="E18" s="6" t="n">
        <v>2</v>
      </c>
    </row>
    <row r="19" customFormat="false" ht="23.85" hidden="false" customHeight="false" outlineLevel="0" collapsed="false">
      <c r="A19" s="14" t="s">
        <v>244</v>
      </c>
      <c r="C19" s="5" t="str">
        <f aca="false">IF(E16&lt;C18,"Too slow",IF(E16&gt;E18,"Too fast","OK"))</f>
        <v>OK</v>
      </c>
    </row>
    <row r="20" customFormat="false" ht="15" hidden="false" customHeight="false" outlineLevel="0" collapsed="false">
      <c r="A20" s="14" t="s">
        <v>245</v>
      </c>
      <c r="C20" s="5" t="str">
        <f aca="false">IF(F16&lt;C18,"Too slow",IF(F16&gt;E18,"Too fast","OK"))</f>
        <v>OK</v>
      </c>
    </row>
    <row r="22" customFormat="false" ht="124.6" hidden="false" customHeight="false" outlineLevel="0" collapsed="false">
      <c r="A22" s="5" t="s">
        <v>246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3"/>
    <col collapsed="false" customWidth="true" hidden="false" outlineLevel="0" max="7" min="5" style="0" width="9"/>
    <col collapsed="false" customWidth="true" hidden="false" outlineLevel="0" max="10" min="8" style="0" width="8"/>
    <col collapsed="false" customWidth="true" hidden="false" outlineLevel="0" max="11" min="11" style="0" width="11"/>
    <col collapsed="false" customWidth="true" hidden="false" outlineLevel="0" max="12" min="12" style="0" width="15"/>
    <col collapsed="false" customWidth="true" hidden="false" outlineLevel="0" max="13" min="13" style="0" width="10"/>
  </cols>
  <sheetData>
    <row r="1" customFormat="false" ht="17.35" hidden="false" customHeight="false" outlineLevel="0" collapsed="false">
      <c r="A1" s="1" t="s">
        <v>247</v>
      </c>
    </row>
    <row r="2" customFormat="false" ht="15" hidden="false" customHeight="false" outlineLevel="0" collapsed="false">
      <c r="A2" s="2" t="s">
        <v>248</v>
      </c>
    </row>
    <row r="4" customFormat="false" ht="15" hidden="false" customHeight="false" outlineLevel="0" collapsed="false">
      <c r="A4" s="4" t="s">
        <v>249</v>
      </c>
      <c r="B4" s="4" t="n">
        <v>1</v>
      </c>
      <c r="C4" s="4" t="n">
        <v>2</v>
      </c>
      <c r="D4" s="4" t="n">
        <v>3</v>
      </c>
      <c r="E4" s="4" t="n">
        <v>4</v>
      </c>
      <c r="F4" s="4" t="n">
        <v>5</v>
      </c>
      <c r="G4" s="4" t="n">
        <v>6</v>
      </c>
      <c r="H4" s="4" t="n">
        <v>7</v>
      </c>
      <c r="I4" s="4" t="n">
        <v>8</v>
      </c>
    </row>
    <row r="5" customFormat="false" ht="23.85" hidden="false" customHeight="false" outlineLevel="0" collapsed="false">
      <c r="A5" s="14" t="s">
        <v>250</v>
      </c>
      <c r="B5" s="17" t="n">
        <v>8</v>
      </c>
      <c r="C5" s="17" t="n">
        <v>6</v>
      </c>
      <c r="D5" s="17" t="n">
        <v>5</v>
      </c>
      <c r="E5" s="17" t="n">
        <v>4</v>
      </c>
      <c r="F5" s="17" t="n">
        <v>3</v>
      </c>
      <c r="G5" s="17" t="n">
        <v>2</v>
      </c>
      <c r="H5" s="17" t="n">
        <v>1</v>
      </c>
      <c r="I5" s="17" t="n">
        <v>0</v>
      </c>
    </row>
    <row r="7" customFormat="false" ht="15" hidden="false" customHeight="false" outlineLevel="0" collapsed="false">
      <c r="A7" s="4" t="s">
        <v>251</v>
      </c>
      <c r="B7" s="4" t="s">
        <v>252</v>
      </c>
      <c r="C7" s="4" t="s">
        <v>253</v>
      </c>
      <c r="D7" s="4" t="s">
        <v>254</v>
      </c>
      <c r="E7" s="4" t="s">
        <v>255</v>
      </c>
      <c r="F7" s="4" t="s">
        <v>256</v>
      </c>
      <c r="G7" s="4" t="s">
        <v>257</v>
      </c>
      <c r="H7" s="4" t="s">
        <v>258</v>
      </c>
      <c r="I7" s="4" t="s">
        <v>259</v>
      </c>
      <c r="J7" s="4" t="s">
        <v>260</v>
      </c>
      <c r="K7" s="4" t="s">
        <v>261</v>
      </c>
      <c r="L7" s="4" t="s">
        <v>262</v>
      </c>
      <c r="M7" s="4" t="s">
        <v>263</v>
      </c>
    </row>
    <row r="8" customFormat="false" ht="15" hidden="false" customHeight="false" outlineLevel="0" collapsed="false">
      <c r="A8" s="18" t="s">
        <v>264</v>
      </c>
      <c r="B8" s="6" t="n">
        <v>22</v>
      </c>
      <c r="C8" s="6" t="n">
        <v>31</v>
      </c>
      <c r="D8" s="6" t="n">
        <v>28</v>
      </c>
      <c r="E8" s="5" t="n">
        <f aca="false">RANK(B8,B$8:B$13,1)</f>
        <v>3</v>
      </c>
      <c r="F8" s="5" t="n">
        <f aca="false">RANK(C8,C$8:C$13,1)</f>
        <v>5</v>
      </c>
      <c r="G8" s="5" t="n">
        <f aca="false">RANK(D8,D$8:D$13,1)</f>
        <v>4</v>
      </c>
      <c r="H8" s="5" t="n">
        <f aca="false">INDEX($B$5:$I$5,1,E8)</f>
        <v>5</v>
      </c>
      <c r="I8" s="5" t="n">
        <f aca="false">INDEX($B$5:$I$5,1,F8)</f>
        <v>3</v>
      </c>
      <c r="J8" s="5" t="n">
        <f aca="false">INDEX($B$5:$I$5,1,G8)</f>
        <v>4</v>
      </c>
      <c r="K8" s="5" t="n">
        <f aca="false">SUM(H8:J8)</f>
        <v>12</v>
      </c>
      <c r="L8" s="5" t="n">
        <f aca="false">SUM(B8:D8)</f>
        <v>81</v>
      </c>
      <c r="M8" s="14" t="n">
        <f aca="false">COUNTIF($K$8:$K$13,"&gt;"&amp;K8)+COUNTIFS($K$8:$K$13,K8,$L$8:$L$13,"&lt;"&amp;L8)+1</f>
        <v>4</v>
      </c>
    </row>
    <row r="9" customFormat="false" ht="15" hidden="false" customHeight="false" outlineLevel="0" collapsed="false">
      <c r="A9" s="18" t="s">
        <v>265</v>
      </c>
      <c r="B9" s="6" t="n">
        <v>30</v>
      </c>
      <c r="C9" s="6" t="n">
        <v>25</v>
      </c>
      <c r="D9" s="6" t="n">
        <v>35</v>
      </c>
      <c r="E9" s="5" t="n">
        <f aca="false">RANK(B9,B$8:B$13,1)</f>
        <v>5</v>
      </c>
      <c r="F9" s="5" t="n">
        <f aca="false">RANK(C9,C$8:C$13,1)</f>
        <v>3</v>
      </c>
      <c r="G9" s="5" t="n">
        <f aca="false">RANK(D9,D$8:D$13,1)</f>
        <v>6</v>
      </c>
      <c r="H9" s="5" t="n">
        <f aca="false">INDEX($B$5:$I$5,1,E9)</f>
        <v>3</v>
      </c>
      <c r="I9" s="5" t="n">
        <f aca="false">INDEX($B$5:$I$5,1,F9)</f>
        <v>5</v>
      </c>
      <c r="J9" s="5" t="n">
        <f aca="false">INDEX($B$5:$I$5,1,G9)</f>
        <v>2</v>
      </c>
      <c r="K9" s="5" t="n">
        <f aca="false">SUM(H9:J9)</f>
        <v>10</v>
      </c>
      <c r="L9" s="5" t="n">
        <f aca="false">SUM(B9:D9)</f>
        <v>90</v>
      </c>
      <c r="M9" s="14" t="n">
        <f aca="false">COUNTIF($K$8:$K$13,"&gt;"&amp;K9)+COUNTIFS($K$8:$K$13,K9,$L$8:$L$13,"&lt;"&amp;L9)+1</f>
        <v>5</v>
      </c>
    </row>
    <row r="10" customFormat="false" ht="15" hidden="false" customHeight="false" outlineLevel="0" collapsed="false">
      <c r="A10" s="18" t="s">
        <v>266</v>
      </c>
      <c r="B10" s="6" t="n">
        <v>18</v>
      </c>
      <c r="C10" s="6" t="n">
        <v>40</v>
      </c>
      <c r="D10" s="6" t="n">
        <v>21</v>
      </c>
      <c r="E10" s="5" t="n">
        <f aca="false">RANK(B10,B$8:B$13,1)</f>
        <v>2</v>
      </c>
      <c r="F10" s="5" t="n">
        <f aca="false">RANK(C10,C$8:C$13,1)</f>
        <v>6</v>
      </c>
      <c r="G10" s="5" t="n">
        <f aca="false">RANK(D10,D$8:D$13,1)</f>
        <v>2</v>
      </c>
      <c r="H10" s="5" t="n">
        <f aca="false">INDEX($B$5:$I$5,1,E10)</f>
        <v>6</v>
      </c>
      <c r="I10" s="5" t="n">
        <f aca="false">INDEX($B$5:$I$5,1,F10)</f>
        <v>2</v>
      </c>
      <c r="J10" s="5" t="n">
        <f aca="false">INDEX($B$5:$I$5,1,G10)</f>
        <v>6</v>
      </c>
      <c r="K10" s="5" t="n">
        <f aca="false">SUM(H10:J10)</f>
        <v>14</v>
      </c>
      <c r="L10" s="5" t="n">
        <f aca="false">SUM(B10:D10)</f>
        <v>79</v>
      </c>
      <c r="M10" s="14" t="n">
        <f aca="false">COUNTIF($K$8:$K$13,"&gt;"&amp;K10)+COUNTIFS($K$8:$K$13,K10,$L$8:$L$13,"&lt;"&amp;L10)+1</f>
        <v>3</v>
      </c>
    </row>
    <row r="11" customFormat="false" ht="15" hidden="false" customHeight="false" outlineLevel="0" collapsed="false">
      <c r="A11" s="18" t="s">
        <v>267</v>
      </c>
      <c r="B11" s="6" t="n">
        <v>41</v>
      </c>
      <c r="C11" s="6" t="n">
        <v>27</v>
      </c>
      <c r="D11" s="6" t="n">
        <v>30</v>
      </c>
      <c r="E11" s="5" t="n">
        <f aca="false">RANK(B11,B$8:B$13,1)</f>
        <v>6</v>
      </c>
      <c r="F11" s="5" t="n">
        <f aca="false">RANK(C11,C$8:C$13,1)</f>
        <v>4</v>
      </c>
      <c r="G11" s="5" t="n">
        <f aca="false">RANK(D11,D$8:D$13,1)</f>
        <v>5</v>
      </c>
      <c r="H11" s="5" t="n">
        <f aca="false">INDEX($B$5:$I$5,1,E11)</f>
        <v>2</v>
      </c>
      <c r="I11" s="5" t="n">
        <f aca="false">INDEX($B$5:$I$5,1,F11)</f>
        <v>4</v>
      </c>
      <c r="J11" s="5" t="n">
        <f aca="false">INDEX($B$5:$I$5,1,G11)</f>
        <v>3</v>
      </c>
      <c r="K11" s="5" t="n">
        <f aca="false">SUM(H11:J11)</f>
        <v>9</v>
      </c>
      <c r="L11" s="5" t="n">
        <f aca="false">SUM(B11:D11)</f>
        <v>98</v>
      </c>
      <c r="M11" s="14" t="n">
        <f aca="false">COUNTIF($K$8:$K$13,"&gt;"&amp;K11)+COUNTIFS($K$8:$K$13,K11,$L$8:$L$13,"&lt;"&amp;L11)+1</f>
        <v>6</v>
      </c>
    </row>
    <row r="12" customFormat="false" ht="15" hidden="false" customHeight="false" outlineLevel="0" collapsed="false">
      <c r="A12" s="18" t="s">
        <v>268</v>
      </c>
      <c r="B12" s="6" t="n">
        <v>25</v>
      </c>
      <c r="C12" s="6" t="n">
        <v>19</v>
      </c>
      <c r="D12" s="6" t="n">
        <v>26</v>
      </c>
      <c r="E12" s="5" t="n">
        <f aca="false">RANK(B12,B$8:B$13,1)</f>
        <v>4</v>
      </c>
      <c r="F12" s="5" t="n">
        <f aca="false">RANK(C12,C$8:C$13,1)</f>
        <v>2</v>
      </c>
      <c r="G12" s="5" t="n">
        <f aca="false">RANK(D12,D$8:D$13,1)</f>
        <v>3</v>
      </c>
      <c r="H12" s="5" t="n">
        <f aca="false">INDEX($B$5:$I$5,1,E12)</f>
        <v>4</v>
      </c>
      <c r="I12" s="5" t="n">
        <f aca="false">INDEX($B$5:$I$5,1,F12)</f>
        <v>6</v>
      </c>
      <c r="J12" s="5" t="n">
        <f aca="false">INDEX($B$5:$I$5,1,G12)</f>
        <v>5</v>
      </c>
      <c r="K12" s="5" t="n">
        <f aca="false">SUM(H12:J12)</f>
        <v>15</v>
      </c>
      <c r="L12" s="5" t="n">
        <f aca="false">SUM(B12:D12)</f>
        <v>70</v>
      </c>
      <c r="M12" s="14" t="n">
        <f aca="false">COUNTIF($K$8:$K$13,"&gt;"&amp;K12)+COUNTIFS($K$8:$K$13,K12,$L$8:$L$13,"&lt;"&amp;L12)+1</f>
        <v>2</v>
      </c>
    </row>
    <row r="13" customFormat="false" ht="15" hidden="false" customHeight="false" outlineLevel="0" collapsed="false">
      <c r="A13" s="18" t="s">
        <v>269</v>
      </c>
      <c r="B13" s="6" t="n">
        <v>14</v>
      </c>
      <c r="C13" s="6" t="n">
        <v>8</v>
      </c>
      <c r="D13" s="6" t="n">
        <v>10</v>
      </c>
      <c r="E13" s="5" t="n">
        <f aca="false">RANK(B13,B$8:B$13,1)</f>
        <v>1</v>
      </c>
      <c r="F13" s="5" t="n">
        <f aca="false">RANK(C13,C$8:C$13,1)</f>
        <v>1</v>
      </c>
      <c r="G13" s="5" t="n">
        <f aca="false">RANK(D13,D$8:D$13,1)</f>
        <v>1</v>
      </c>
      <c r="H13" s="5" t="n">
        <f aca="false">INDEX($B$5:$I$5,1,E13)</f>
        <v>8</v>
      </c>
      <c r="I13" s="5" t="n">
        <f aca="false">INDEX($B$5:$I$5,1,F13)</f>
        <v>8</v>
      </c>
      <c r="J13" s="5" t="n">
        <f aca="false">INDEX($B$5:$I$5,1,G13)</f>
        <v>8</v>
      </c>
      <c r="K13" s="5" t="n">
        <f aca="false">SUM(H13:J13)</f>
        <v>24</v>
      </c>
      <c r="L13" s="5" t="n">
        <f aca="false">SUM(B13:D13)</f>
        <v>32</v>
      </c>
      <c r="M13" s="14" t="n">
        <f aca="false">COUNTIF($K$8:$K$13,"&gt;"&amp;K13)+COUNTIFS($K$8:$K$13,K13,$L$8:$L$13,"&lt;"&amp;L13)+1</f>
        <v>1</v>
      </c>
    </row>
    <row r="15" customFormat="false" ht="169.4" hidden="false" customHeight="false" outlineLevel="0" collapsed="false">
      <c r="A15" s="5" t="s">
        <v>270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44"/>
  </cols>
  <sheetData>
    <row r="1" customFormat="false" ht="17.35" hidden="false" customHeight="false" outlineLevel="0" collapsed="false">
      <c r="A1" s="1" t="s">
        <v>271</v>
      </c>
    </row>
    <row r="2" customFormat="false" ht="15" hidden="false" customHeight="false" outlineLevel="0" collapsed="false">
      <c r="A2" s="2" t="s">
        <v>272</v>
      </c>
    </row>
    <row r="4" customFormat="false" ht="15" hidden="false" customHeight="false" outlineLevel="0" collapsed="false">
      <c r="A4" s="4" t="s">
        <v>273</v>
      </c>
      <c r="B4" s="4" t="s">
        <v>274</v>
      </c>
      <c r="C4" s="4" t="s">
        <v>17</v>
      </c>
    </row>
    <row r="5" customFormat="false" ht="15" hidden="false" customHeight="false" outlineLevel="0" collapsed="false">
      <c r="A5" s="5" t="s">
        <v>275</v>
      </c>
      <c r="B5" s="5" t="n">
        <f aca="false">Config!$C$31*IF(Config!$C$43=1,Config!$C$35,1)</f>
        <v>36</v>
      </c>
      <c r="C5" s="5" t="s">
        <v>276</v>
      </c>
    </row>
    <row r="6" customFormat="false" ht="15" hidden="false" customHeight="false" outlineLevel="0" collapsed="false">
      <c r="A6" s="5" t="s">
        <v>277</v>
      </c>
      <c r="B6" s="5" t="n">
        <f aca="false">Config!$C$32*Config!$C$35</f>
        <v>15</v>
      </c>
      <c r="C6" s="5"/>
    </row>
    <row r="7" customFormat="false" ht="15" hidden="false" customHeight="false" outlineLevel="0" collapsed="false">
      <c r="A7" s="5" t="s">
        <v>278</v>
      </c>
      <c r="B7" s="5" t="n">
        <f aca="false">Config!$C$30*Config!$C$35</f>
        <v>450</v>
      </c>
      <c r="C7" s="5"/>
    </row>
    <row r="8" customFormat="false" ht="15" hidden="false" customHeight="false" outlineLevel="0" collapsed="false">
      <c r="A8" s="5" t="s">
        <v>279</v>
      </c>
      <c r="B8" s="5" t="n">
        <f aca="false">Config!$C$33*Config!$C$35</f>
        <v>24</v>
      </c>
      <c r="C8" s="5"/>
    </row>
    <row r="9" customFormat="false" ht="15" hidden="false" customHeight="false" outlineLevel="0" collapsed="false">
      <c r="A9" s="5" t="s">
        <v>280</v>
      </c>
      <c r="B9" s="5" t="n">
        <f aca="false">Config!$C$34</f>
        <v>15</v>
      </c>
      <c r="C9" s="5"/>
    </row>
    <row r="10" customFormat="false" ht="15" hidden="false" customHeight="false" outlineLevel="0" collapsed="false">
      <c r="A10" s="14" t="s">
        <v>281</v>
      </c>
      <c r="B10" s="14" t="n">
        <f aca="false">SUM(B5:B9)</f>
        <v>540</v>
      </c>
    </row>
    <row r="11" customFormat="false" ht="15" hidden="false" customHeight="false" outlineLevel="0" collapsed="false">
      <c r="A11" s="14" t="s">
        <v>282</v>
      </c>
      <c r="B11" s="19" t="n">
        <f aca="false">B10/60</f>
        <v>9</v>
      </c>
    </row>
    <row r="12" customFormat="false" ht="15" hidden="false" customHeight="false" outlineLevel="0" collapsed="false">
      <c r="A12" s="14" t="s">
        <v>283</v>
      </c>
      <c r="B12" s="14" t="str">
        <f aca="false">IF(AND(B10&gt;=Config!$C$41,B10&lt;=Config!$C$42),"Yes","No")</f>
        <v>Yes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18"/>
    <col collapsed="false" customWidth="true" hidden="false" outlineLevel="0" max="5" min="4" style="0" width="8"/>
    <col collapsed="false" customWidth="true" hidden="false" outlineLevel="0" max="6" min="6" style="0" width="10"/>
    <col collapsed="false" customWidth="true" hidden="false" outlineLevel="0" max="8" min="7" style="0" width="9"/>
    <col collapsed="false" customWidth="true" hidden="false" outlineLevel="0" max="9" min="9" style="0" width="10"/>
    <col collapsed="false" customWidth="true" hidden="false" outlineLevel="0" max="12" min="10" style="0" width="11"/>
    <col collapsed="false" customWidth="true" hidden="false" outlineLevel="0" max="13" min="13" style="0" width="13"/>
    <col collapsed="false" customWidth="true" hidden="false" outlineLevel="0" max="14" min="14" style="0" width="16"/>
    <col collapsed="false" customWidth="true" hidden="false" outlineLevel="0" max="15" min="15" style="0" width="28"/>
  </cols>
  <sheetData>
    <row r="1" customFormat="false" ht="17.35" hidden="false" customHeight="false" outlineLevel="0" collapsed="false">
      <c r="A1" s="1" t="s">
        <v>284</v>
      </c>
    </row>
    <row r="2" customFormat="false" ht="15" hidden="false" customHeight="false" outlineLevel="0" collapsed="false">
      <c r="A2" s="2" t="s">
        <v>285</v>
      </c>
    </row>
    <row r="4" customFormat="false" ht="35.05" hidden="false" customHeight="false" outlineLevel="0" collapsed="false">
      <c r="A4" s="4" t="s">
        <v>286</v>
      </c>
      <c r="B4" s="4" t="s">
        <v>287</v>
      </c>
      <c r="C4" s="4" t="s">
        <v>288</v>
      </c>
      <c r="D4" s="4" t="s">
        <v>289</v>
      </c>
      <c r="E4" s="4" t="s">
        <v>290</v>
      </c>
      <c r="F4" s="4" t="s">
        <v>291</v>
      </c>
      <c r="G4" s="4" t="s">
        <v>292</v>
      </c>
      <c r="H4" s="4" t="s">
        <v>293</v>
      </c>
      <c r="I4" s="4" t="s">
        <v>294</v>
      </c>
      <c r="J4" s="4" t="s">
        <v>295</v>
      </c>
      <c r="K4" s="4" t="s">
        <v>296</v>
      </c>
      <c r="L4" s="4" t="s">
        <v>297</v>
      </c>
      <c r="M4" s="4" t="s">
        <v>298</v>
      </c>
      <c r="N4" s="4" t="s">
        <v>299</v>
      </c>
      <c r="O4" s="4" t="s">
        <v>300</v>
      </c>
    </row>
    <row r="5" customFormat="false" ht="15" hidden="false" customHeight="false" outlineLevel="0" collapsed="false">
      <c r="A5" s="6" t="s">
        <v>301</v>
      </c>
      <c r="B5" s="20" t="n">
        <v>46307</v>
      </c>
      <c r="C5" s="6" t="s">
        <v>302</v>
      </c>
      <c r="D5" s="6" t="n">
        <v>6</v>
      </c>
      <c r="E5" s="6" t="n">
        <v>1</v>
      </c>
      <c r="F5" s="6" t="n">
        <v>18</v>
      </c>
      <c r="G5" s="6" t="n">
        <v>7</v>
      </c>
      <c r="H5" s="6" t="n">
        <v>5</v>
      </c>
      <c r="I5" s="6" t="n">
        <v>6</v>
      </c>
      <c r="J5" s="6" t="n">
        <v>25</v>
      </c>
      <c r="K5" s="6" t="n">
        <v>9</v>
      </c>
      <c r="L5" s="12" t="n">
        <f aca="false">IFERROR(G5/F5,"")</f>
        <v>0.388888888888889</v>
      </c>
      <c r="M5" s="5" t="str">
        <f aca="false">IF(L5="","",IF(L5&lt;Config!$C$39,"Taya weak",IF(L5&gt;Config!$C$40,"Taya strong","OK")))</f>
        <v>Taya weak</v>
      </c>
      <c r="N5" s="7" t="n">
        <v>0.83</v>
      </c>
      <c r="O5" s="6" t="s">
        <v>303</v>
      </c>
    </row>
    <row r="6" customFormat="false" ht="15" hidden="false" customHeight="false" outlineLevel="0" collapsed="false">
      <c r="A6" s="6"/>
      <c r="B6" s="20"/>
      <c r="C6" s="6"/>
      <c r="D6" s="6"/>
      <c r="E6" s="6"/>
      <c r="F6" s="6"/>
      <c r="G6" s="6"/>
      <c r="H6" s="6"/>
      <c r="I6" s="6"/>
      <c r="J6" s="6"/>
      <c r="K6" s="6"/>
      <c r="L6" s="12" t="str">
        <f aca="false">IFERROR(G6/F6,"")</f>
        <v/>
      </c>
      <c r="M6" s="5" t="str">
        <f aca="false">IF(L6="","",IF(L6&lt;Config!$C$39,"Taya weak",IF(L6&gt;Config!$C$40,"Taya strong","OK")))</f>
        <v/>
      </c>
      <c r="N6" s="7"/>
      <c r="O6" s="6"/>
    </row>
    <row r="7" customFormat="false" ht="15" hidden="false" customHeight="false" outlineLevel="0" collapsed="false">
      <c r="A7" s="6"/>
      <c r="B7" s="20"/>
      <c r="C7" s="6"/>
      <c r="D7" s="6"/>
      <c r="E7" s="6"/>
      <c r="F7" s="6"/>
      <c r="G7" s="6"/>
      <c r="H7" s="6"/>
      <c r="I7" s="6"/>
      <c r="J7" s="6"/>
      <c r="K7" s="6"/>
      <c r="L7" s="12" t="str">
        <f aca="false">IFERROR(G7/F7,"")</f>
        <v/>
      </c>
      <c r="M7" s="5" t="str">
        <f aca="false">IF(L7="","",IF(L7&lt;Config!$C$39,"Taya weak",IF(L7&gt;Config!$C$40,"Taya strong","OK")))</f>
        <v/>
      </c>
      <c r="N7" s="7"/>
      <c r="O7" s="6"/>
    </row>
    <row r="8" customFormat="false" ht="15" hidden="false" customHeight="false" outlineLevel="0" collapsed="false">
      <c r="A8" s="6"/>
      <c r="B8" s="20"/>
      <c r="C8" s="6"/>
      <c r="D8" s="6"/>
      <c r="E8" s="6"/>
      <c r="F8" s="6"/>
      <c r="G8" s="6"/>
      <c r="H8" s="6"/>
      <c r="I8" s="6"/>
      <c r="J8" s="6"/>
      <c r="K8" s="6"/>
      <c r="L8" s="12" t="str">
        <f aca="false">IFERROR(G8/F8,"")</f>
        <v/>
      </c>
      <c r="M8" s="5" t="str">
        <f aca="false">IF(L8="","",IF(L8&lt;Config!$C$39,"Taya weak",IF(L8&gt;Config!$C$40,"Taya strong","OK")))</f>
        <v/>
      </c>
      <c r="N8" s="7"/>
      <c r="O8" s="6"/>
    </row>
    <row r="9" customFormat="false" ht="15" hidden="false" customHeight="false" outlineLevel="0" collapsed="false">
      <c r="A9" s="6"/>
      <c r="B9" s="20"/>
      <c r="C9" s="6"/>
      <c r="D9" s="6"/>
      <c r="E9" s="6"/>
      <c r="F9" s="6"/>
      <c r="G9" s="6"/>
      <c r="H9" s="6"/>
      <c r="I9" s="6"/>
      <c r="J9" s="6"/>
      <c r="K9" s="6"/>
      <c r="L9" s="12" t="str">
        <f aca="false">IFERROR(G9/F9,"")</f>
        <v/>
      </c>
      <c r="M9" s="5" t="str">
        <f aca="false">IF(L9="","",IF(L9&lt;Config!$C$39,"Taya weak",IF(L9&gt;Config!$C$40,"Taya strong","OK")))</f>
        <v/>
      </c>
      <c r="N9" s="7"/>
      <c r="O9" s="6"/>
    </row>
    <row r="10" customFormat="false" ht="15" hidden="false" customHeight="false" outlineLevel="0" collapsed="false">
      <c r="A10" s="6"/>
      <c r="B10" s="20"/>
      <c r="C10" s="6"/>
      <c r="D10" s="6"/>
      <c r="E10" s="6"/>
      <c r="F10" s="6"/>
      <c r="G10" s="6"/>
      <c r="H10" s="6"/>
      <c r="I10" s="6"/>
      <c r="J10" s="6"/>
      <c r="K10" s="6"/>
      <c r="L10" s="12" t="str">
        <f aca="false">IFERROR(G10/F10,"")</f>
        <v/>
      </c>
      <c r="M10" s="5" t="str">
        <f aca="false">IF(L10="","",IF(L10&lt;Config!$C$39,"Taya weak",IF(L10&gt;Config!$C$40,"Taya strong","OK")))</f>
        <v/>
      </c>
      <c r="N10" s="7"/>
      <c r="O10" s="6"/>
    </row>
    <row r="11" customFormat="false" ht="15" hidden="false" customHeight="false" outlineLevel="0" collapsed="false">
      <c r="A11" s="6"/>
      <c r="B11" s="20"/>
      <c r="C11" s="6"/>
      <c r="D11" s="6"/>
      <c r="E11" s="6"/>
      <c r="F11" s="6"/>
      <c r="G11" s="6"/>
      <c r="H11" s="6"/>
      <c r="I11" s="6"/>
      <c r="J11" s="6"/>
      <c r="K11" s="6"/>
      <c r="L11" s="12" t="str">
        <f aca="false">IFERROR(G11/F11,"")</f>
        <v/>
      </c>
      <c r="M11" s="5" t="str">
        <f aca="false">IF(L11="","",IF(L11&lt;Config!$C$39,"Taya weak",IF(L11&gt;Config!$C$40,"Taya strong","OK")))</f>
        <v/>
      </c>
      <c r="N11" s="7"/>
      <c r="O11" s="6"/>
    </row>
    <row r="12" customFormat="false" ht="15" hidden="false" customHeight="false" outlineLevel="0" collapsed="false">
      <c r="A12" s="6"/>
      <c r="B12" s="20"/>
      <c r="C12" s="6"/>
      <c r="D12" s="6"/>
      <c r="E12" s="6"/>
      <c r="F12" s="6"/>
      <c r="G12" s="6"/>
      <c r="H12" s="6"/>
      <c r="I12" s="6"/>
      <c r="J12" s="6"/>
      <c r="K12" s="6"/>
      <c r="L12" s="12" t="str">
        <f aca="false">IFERROR(G12/F12,"")</f>
        <v/>
      </c>
      <c r="M12" s="5" t="str">
        <f aca="false">IF(L12="","",IF(L12&lt;Config!$C$39,"Taya weak",IF(L12&gt;Config!$C$40,"Taya strong","OK")))</f>
        <v/>
      </c>
      <c r="N12" s="7"/>
      <c r="O12" s="6"/>
    </row>
    <row r="13" customFormat="false" ht="15" hidden="false" customHeight="false" outlineLevel="0" collapsed="false">
      <c r="A13" s="6"/>
      <c r="B13" s="20"/>
      <c r="C13" s="6"/>
      <c r="D13" s="6"/>
      <c r="E13" s="6"/>
      <c r="F13" s="6"/>
      <c r="G13" s="6"/>
      <c r="H13" s="6"/>
      <c r="I13" s="6"/>
      <c r="J13" s="6"/>
      <c r="K13" s="6"/>
      <c r="L13" s="12" t="str">
        <f aca="false">IFERROR(G13/F13,"")</f>
        <v/>
      </c>
      <c r="M13" s="5" t="str">
        <f aca="false">IF(L13="","",IF(L13&lt;Config!$C$39,"Taya weak",IF(L13&gt;Config!$C$40,"Taya strong","OK")))</f>
        <v/>
      </c>
      <c r="N13" s="7"/>
      <c r="O13" s="6"/>
    </row>
    <row r="14" customFormat="false" ht="15" hidden="false" customHeight="false" outlineLevel="0" collapsed="false">
      <c r="A14" s="6"/>
      <c r="B14" s="20"/>
      <c r="C14" s="6"/>
      <c r="D14" s="6"/>
      <c r="E14" s="6"/>
      <c r="F14" s="6"/>
      <c r="G14" s="6"/>
      <c r="H14" s="6"/>
      <c r="I14" s="6"/>
      <c r="J14" s="6"/>
      <c r="K14" s="6"/>
      <c r="L14" s="12" t="str">
        <f aca="false">IFERROR(G14/F14,"")</f>
        <v/>
      </c>
      <c r="M14" s="5" t="str">
        <f aca="false">IF(L14="","",IF(L14&lt;Config!$C$39,"Taya weak",IF(L14&gt;Config!$C$40,"Taya strong","OK")))</f>
        <v/>
      </c>
      <c r="N14" s="7"/>
      <c r="O14" s="6"/>
    </row>
    <row r="15" customFormat="false" ht="15" hidden="false" customHeight="false" outlineLevel="0" collapsed="false">
      <c r="A15" s="6"/>
      <c r="B15" s="20"/>
      <c r="C15" s="6"/>
      <c r="D15" s="6"/>
      <c r="E15" s="6"/>
      <c r="F15" s="6"/>
      <c r="G15" s="6"/>
      <c r="H15" s="6"/>
      <c r="I15" s="6"/>
      <c r="J15" s="6"/>
      <c r="K15" s="6"/>
      <c r="L15" s="12" t="str">
        <f aca="false">IFERROR(G15/F15,"")</f>
        <v/>
      </c>
      <c r="M15" s="5" t="str">
        <f aca="false">IF(L15="","",IF(L15&lt;Config!$C$39,"Taya weak",IF(L15&gt;Config!$C$40,"Taya strong","OK")))</f>
        <v/>
      </c>
      <c r="N15" s="7"/>
      <c r="O15" s="6"/>
    </row>
    <row r="16" customFormat="false" ht="15" hidden="false" customHeight="false" outlineLevel="0" collapsed="false">
      <c r="A16" s="6"/>
      <c r="B16" s="20"/>
      <c r="C16" s="6"/>
      <c r="D16" s="6"/>
      <c r="E16" s="6"/>
      <c r="F16" s="6"/>
      <c r="G16" s="6"/>
      <c r="H16" s="6"/>
      <c r="I16" s="6"/>
      <c r="J16" s="6"/>
      <c r="K16" s="6"/>
      <c r="L16" s="12" t="str">
        <f aca="false">IFERROR(G16/F16,"")</f>
        <v/>
      </c>
      <c r="M16" s="5" t="str">
        <f aca="false">IF(L16="","",IF(L16&lt;Config!$C$39,"Taya weak",IF(L16&gt;Config!$C$40,"Taya strong","OK")))</f>
        <v/>
      </c>
      <c r="N16" s="7"/>
      <c r="O16" s="6"/>
    </row>
    <row r="17" customFormat="false" ht="15" hidden="false" customHeight="false" outlineLevel="0" collapsed="false">
      <c r="A17" s="6"/>
      <c r="B17" s="20"/>
      <c r="C17" s="6"/>
      <c r="D17" s="6"/>
      <c r="E17" s="6"/>
      <c r="F17" s="6"/>
      <c r="G17" s="6"/>
      <c r="H17" s="6"/>
      <c r="I17" s="6"/>
      <c r="J17" s="6"/>
      <c r="K17" s="6"/>
      <c r="L17" s="12" t="str">
        <f aca="false">IFERROR(G17/F17,"")</f>
        <v/>
      </c>
      <c r="M17" s="5" t="str">
        <f aca="false">IF(L17="","",IF(L17&lt;Config!$C$39,"Taya weak",IF(L17&gt;Config!$C$40,"Taya strong","OK")))</f>
        <v/>
      </c>
      <c r="N17" s="7"/>
      <c r="O17" s="6"/>
    </row>
    <row r="18" customFormat="false" ht="15" hidden="false" customHeight="false" outlineLevel="0" collapsed="false">
      <c r="A18" s="6"/>
      <c r="B18" s="20"/>
      <c r="C18" s="6"/>
      <c r="D18" s="6"/>
      <c r="E18" s="6"/>
      <c r="F18" s="6"/>
      <c r="G18" s="6"/>
      <c r="H18" s="6"/>
      <c r="I18" s="6"/>
      <c r="J18" s="6"/>
      <c r="K18" s="6"/>
      <c r="L18" s="12" t="str">
        <f aca="false">IFERROR(G18/F18,"")</f>
        <v/>
      </c>
      <c r="M18" s="5" t="str">
        <f aca="false">IF(L18="","",IF(L18&lt;Config!$C$39,"Taya weak",IF(L18&gt;Config!$C$40,"Taya strong","OK")))</f>
        <v/>
      </c>
      <c r="N18" s="7"/>
      <c r="O18" s="6"/>
    </row>
    <row r="19" customFormat="false" ht="15" hidden="false" customHeight="false" outlineLevel="0" collapsed="false">
      <c r="A19" s="6"/>
      <c r="B19" s="20"/>
      <c r="C19" s="6"/>
      <c r="D19" s="6"/>
      <c r="E19" s="6"/>
      <c r="F19" s="6"/>
      <c r="G19" s="6"/>
      <c r="H19" s="6"/>
      <c r="I19" s="6"/>
      <c r="J19" s="6"/>
      <c r="K19" s="6"/>
      <c r="L19" s="12" t="str">
        <f aca="false">IFERROR(G19/F19,"")</f>
        <v/>
      </c>
      <c r="M19" s="5" t="str">
        <f aca="false">IF(L19="","",IF(L19&lt;Config!$C$39,"Taya weak",IF(L19&gt;Config!$C$40,"Taya strong","OK")))</f>
        <v/>
      </c>
      <c r="N19" s="7"/>
      <c r="O19" s="6"/>
    </row>
    <row r="20" customFormat="false" ht="15" hidden="false" customHeight="false" outlineLevel="0" collapsed="false">
      <c r="A20" s="6"/>
      <c r="B20" s="20"/>
      <c r="C20" s="6"/>
      <c r="D20" s="6"/>
      <c r="E20" s="6"/>
      <c r="F20" s="6"/>
      <c r="G20" s="6"/>
      <c r="H20" s="6"/>
      <c r="I20" s="6"/>
      <c r="J20" s="6"/>
      <c r="K20" s="6"/>
      <c r="L20" s="12" t="str">
        <f aca="false">IFERROR(G20/F20,"")</f>
        <v/>
      </c>
      <c r="M20" s="5" t="str">
        <f aca="false">IF(L20="","",IF(L20&lt;Config!$C$39,"Taya weak",IF(L20&gt;Config!$C$40,"Taya strong","OK")))</f>
        <v/>
      </c>
      <c r="N20" s="7"/>
      <c r="O20" s="6"/>
    </row>
    <row r="21" customFormat="false" ht="15" hidden="false" customHeight="false" outlineLevel="0" collapsed="false">
      <c r="A21" s="6"/>
      <c r="B21" s="20"/>
      <c r="C21" s="6"/>
      <c r="D21" s="6"/>
      <c r="E21" s="6"/>
      <c r="F21" s="6"/>
      <c r="G21" s="6"/>
      <c r="H21" s="6"/>
      <c r="I21" s="6"/>
      <c r="J21" s="6"/>
      <c r="K21" s="6"/>
      <c r="L21" s="12" t="str">
        <f aca="false">IFERROR(G21/F21,"")</f>
        <v/>
      </c>
      <c r="M21" s="5" t="str">
        <f aca="false">IF(L21="","",IF(L21&lt;Config!$C$39,"Taya weak",IF(L21&gt;Config!$C$40,"Taya strong","OK")))</f>
        <v/>
      </c>
      <c r="N21" s="7"/>
      <c r="O21" s="6"/>
    </row>
    <row r="22" customFormat="false" ht="15" hidden="false" customHeight="false" outlineLevel="0" collapsed="false">
      <c r="A22" s="6"/>
      <c r="B22" s="20"/>
      <c r="C22" s="6"/>
      <c r="D22" s="6"/>
      <c r="E22" s="6"/>
      <c r="F22" s="6"/>
      <c r="G22" s="6"/>
      <c r="H22" s="6"/>
      <c r="I22" s="6"/>
      <c r="J22" s="6"/>
      <c r="K22" s="6"/>
      <c r="L22" s="12" t="str">
        <f aca="false">IFERROR(G22/F22,"")</f>
        <v/>
      </c>
      <c r="M22" s="5" t="str">
        <f aca="false">IF(L22="","",IF(L22&lt;Config!$C$39,"Taya weak",IF(L22&gt;Config!$C$40,"Taya strong","OK")))</f>
        <v/>
      </c>
      <c r="N22" s="7"/>
      <c r="O22" s="6"/>
    </row>
    <row r="23" customFormat="false" ht="15" hidden="false" customHeight="false" outlineLevel="0" collapsed="false">
      <c r="A23" s="6"/>
      <c r="B23" s="20"/>
      <c r="C23" s="6"/>
      <c r="D23" s="6"/>
      <c r="E23" s="6"/>
      <c r="F23" s="6"/>
      <c r="G23" s="6"/>
      <c r="H23" s="6"/>
      <c r="I23" s="6"/>
      <c r="J23" s="6"/>
      <c r="K23" s="6"/>
      <c r="L23" s="12" t="str">
        <f aca="false">IFERROR(G23/F23,"")</f>
        <v/>
      </c>
      <c r="M23" s="5" t="str">
        <f aca="false">IF(L23="","",IF(L23&lt;Config!$C$39,"Taya weak",IF(L23&gt;Config!$C$40,"Taya strong","OK")))</f>
        <v/>
      </c>
      <c r="N23" s="7"/>
      <c r="O23" s="6"/>
    </row>
    <row r="24" customFormat="false" ht="15" hidden="false" customHeight="false" outlineLevel="0" collapsed="false">
      <c r="A24" s="6"/>
      <c r="B24" s="20"/>
      <c r="C24" s="6"/>
      <c r="D24" s="6"/>
      <c r="E24" s="6"/>
      <c r="F24" s="6"/>
      <c r="G24" s="6"/>
      <c r="H24" s="6"/>
      <c r="I24" s="6"/>
      <c r="J24" s="6"/>
      <c r="K24" s="6"/>
      <c r="L24" s="12" t="str">
        <f aca="false">IFERROR(G24/F24,"")</f>
        <v/>
      </c>
      <c r="M24" s="5" t="str">
        <f aca="false">IF(L24="","",IF(L24&lt;Config!$C$39,"Taya weak",IF(L24&gt;Config!$C$40,"Taya strong","OK")))</f>
        <v/>
      </c>
      <c r="N24" s="7"/>
      <c r="O24" s="6"/>
    </row>
    <row r="25" customFormat="false" ht="15" hidden="false" customHeight="false" outlineLevel="0" collapsed="false">
      <c r="A25" s="6"/>
      <c r="B25" s="20"/>
      <c r="C25" s="6"/>
      <c r="D25" s="6"/>
      <c r="E25" s="6"/>
      <c r="F25" s="6"/>
      <c r="G25" s="6"/>
      <c r="H25" s="6"/>
      <c r="I25" s="6"/>
      <c r="J25" s="6"/>
      <c r="K25" s="6"/>
      <c r="L25" s="12" t="str">
        <f aca="false">IFERROR(G25/F25,"")</f>
        <v/>
      </c>
      <c r="M25" s="5" t="str">
        <f aca="false">IF(L25="","",IF(L25&lt;Config!$C$39,"Taya weak",IF(L25&gt;Config!$C$40,"Taya strong","OK")))</f>
        <v/>
      </c>
      <c r="N25" s="7"/>
      <c r="O25" s="6"/>
    </row>
    <row r="26" customFormat="false" ht="15" hidden="false" customHeight="false" outlineLevel="0" collapsed="false">
      <c r="A26" s="6"/>
      <c r="B26" s="20"/>
      <c r="C26" s="6"/>
      <c r="D26" s="6"/>
      <c r="E26" s="6"/>
      <c r="F26" s="6"/>
      <c r="G26" s="6"/>
      <c r="H26" s="6"/>
      <c r="I26" s="6"/>
      <c r="J26" s="6"/>
      <c r="K26" s="6"/>
      <c r="L26" s="12" t="str">
        <f aca="false">IFERROR(G26/F26,"")</f>
        <v/>
      </c>
      <c r="M26" s="5" t="str">
        <f aca="false">IF(L26="","",IF(L26&lt;Config!$C$39,"Taya weak",IF(L26&gt;Config!$C$40,"Taya strong","OK")))</f>
        <v/>
      </c>
      <c r="N26" s="7"/>
      <c r="O26" s="6"/>
    </row>
    <row r="27" customFormat="false" ht="15" hidden="false" customHeight="false" outlineLevel="0" collapsed="false">
      <c r="A27" s="6"/>
      <c r="B27" s="20"/>
      <c r="C27" s="6"/>
      <c r="D27" s="6"/>
      <c r="E27" s="6"/>
      <c r="F27" s="6"/>
      <c r="G27" s="6"/>
      <c r="H27" s="6"/>
      <c r="I27" s="6"/>
      <c r="J27" s="6"/>
      <c r="K27" s="6"/>
      <c r="L27" s="12" t="str">
        <f aca="false">IFERROR(G27/F27,"")</f>
        <v/>
      </c>
      <c r="M27" s="5" t="str">
        <f aca="false">IF(L27="","",IF(L27&lt;Config!$C$39,"Taya weak",IF(L27&gt;Config!$C$40,"Taya strong","OK")))</f>
        <v/>
      </c>
      <c r="N27" s="7"/>
      <c r="O27" s="6"/>
    </row>
    <row r="28" customFormat="false" ht="15" hidden="false" customHeight="false" outlineLevel="0" collapsed="false">
      <c r="A28" s="6"/>
      <c r="B28" s="20"/>
      <c r="C28" s="6"/>
      <c r="D28" s="6"/>
      <c r="E28" s="6"/>
      <c r="F28" s="6"/>
      <c r="G28" s="6"/>
      <c r="H28" s="6"/>
      <c r="I28" s="6"/>
      <c r="J28" s="6"/>
      <c r="K28" s="6"/>
      <c r="L28" s="12" t="str">
        <f aca="false">IFERROR(G28/F28,"")</f>
        <v/>
      </c>
      <c r="M28" s="5" t="str">
        <f aca="false">IF(L28="","",IF(L28&lt;Config!$C$39,"Taya weak",IF(L28&gt;Config!$C$40,"Taya strong","OK")))</f>
        <v/>
      </c>
      <c r="N28" s="7"/>
      <c r="O28" s="6"/>
    </row>
    <row r="29" customFormat="false" ht="15" hidden="false" customHeight="false" outlineLevel="0" collapsed="false">
      <c r="A29" s="6"/>
      <c r="B29" s="20"/>
      <c r="C29" s="6"/>
      <c r="D29" s="6"/>
      <c r="E29" s="6"/>
      <c r="F29" s="6"/>
      <c r="G29" s="6"/>
      <c r="H29" s="6"/>
      <c r="I29" s="6"/>
      <c r="J29" s="6"/>
      <c r="K29" s="6"/>
      <c r="L29" s="12" t="str">
        <f aca="false">IFERROR(G29/F29,"")</f>
        <v/>
      </c>
      <c r="M29" s="5" t="str">
        <f aca="false">IF(L29="","",IF(L29&lt;Config!$C$39,"Taya weak",IF(L29&gt;Config!$C$40,"Taya strong","OK")))</f>
        <v/>
      </c>
      <c r="N29" s="7"/>
      <c r="O29" s="6"/>
    </row>
    <row r="30" customFormat="false" ht="15" hidden="false" customHeight="false" outlineLevel="0" collapsed="false">
      <c r="A30" s="6"/>
      <c r="B30" s="20"/>
      <c r="C30" s="6"/>
      <c r="D30" s="6"/>
      <c r="E30" s="6"/>
      <c r="F30" s="6"/>
      <c r="G30" s="6"/>
      <c r="H30" s="6"/>
      <c r="I30" s="6"/>
      <c r="J30" s="6"/>
      <c r="K30" s="6"/>
      <c r="L30" s="12" t="str">
        <f aca="false">IFERROR(G30/F30,"")</f>
        <v/>
      </c>
      <c r="M30" s="5" t="str">
        <f aca="false">IF(L30="","",IF(L30&lt;Config!$C$39,"Taya weak",IF(L30&gt;Config!$C$40,"Taya strong","OK")))</f>
        <v/>
      </c>
      <c r="N30" s="7"/>
      <c r="O30" s="6"/>
    </row>
    <row r="31" customFormat="false" ht="15" hidden="false" customHeight="false" outlineLevel="0" collapsed="false">
      <c r="A31" s="6"/>
      <c r="B31" s="20"/>
      <c r="C31" s="6"/>
      <c r="D31" s="6"/>
      <c r="E31" s="6"/>
      <c r="F31" s="6"/>
      <c r="G31" s="6"/>
      <c r="H31" s="6"/>
      <c r="I31" s="6"/>
      <c r="J31" s="6"/>
      <c r="K31" s="6"/>
      <c r="L31" s="12" t="str">
        <f aca="false">IFERROR(G31/F31,"")</f>
        <v/>
      </c>
      <c r="M31" s="5" t="str">
        <f aca="false">IF(L31="","",IF(L31&lt;Config!$C$39,"Taya weak",IF(L31&gt;Config!$C$40,"Taya strong","OK")))</f>
        <v/>
      </c>
      <c r="N31" s="7"/>
      <c r="O31" s="6"/>
    </row>
    <row r="32" customFormat="false" ht="15" hidden="false" customHeight="false" outlineLevel="0" collapsed="false">
      <c r="A32" s="6"/>
      <c r="B32" s="20"/>
      <c r="C32" s="6"/>
      <c r="D32" s="6"/>
      <c r="E32" s="6"/>
      <c r="F32" s="6"/>
      <c r="G32" s="6"/>
      <c r="H32" s="6"/>
      <c r="I32" s="6"/>
      <c r="J32" s="6"/>
      <c r="K32" s="6"/>
      <c r="L32" s="12" t="str">
        <f aca="false">IFERROR(G32/F32,"")</f>
        <v/>
      </c>
      <c r="M32" s="5" t="str">
        <f aca="false">IF(L32="","",IF(L32&lt;Config!$C$39,"Taya weak",IF(L32&gt;Config!$C$40,"Taya strong","OK")))</f>
        <v/>
      </c>
      <c r="N32" s="7"/>
      <c r="O32" s="6"/>
    </row>
    <row r="33" customFormat="false" ht="15" hidden="false" customHeight="false" outlineLevel="0" collapsed="false">
      <c r="A33" s="6"/>
      <c r="B33" s="20"/>
      <c r="C33" s="6"/>
      <c r="D33" s="6"/>
      <c r="E33" s="6"/>
      <c r="F33" s="6"/>
      <c r="G33" s="6"/>
      <c r="H33" s="6"/>
      <c r="I33" s="6"/>
      <c r="J33" s="6"/>
      <c r="K33" s="6"/>
      <c r="L33" s="12" t="str">
        <f aca="false">IFERROR(G33/F33,"")</f>
        <v/>
      </c>
      <c r="M33" s="5" t="str">
        <f aca="false">IF(L33="","",IF(L33&lt;Config!$C$39,"Taya weak",IF(L33&gt;Config!$C$40,"Taya strong","OK")))</f>
        <v/>
      </c>
      <c r="N33" s="7"/>
      <c r="O33" s="6"/>
    </row>
    <row r="34" customFormat="false" ht="15" hidden="false" customHeight="false" outlineLevel="0" collapsed="false">
      <c r="A34" s="6"/>
      <c r="B34" s="20"/>
      <c r="C34" s="6"/>
      <c r="D34" s="6"/>
      <c r="E34" s="6"/>
      <c r="F34" s="6"/>
      <c r="G34" s="6"/>
      <c r="H34" s="6"/>
      <c r="I34" s="6"/>
      <c r="J34" s="6"/>
      <c r="K34" s="6"/>
      <c r="L34" s="12" t="str">
        <f aca="false">IFERROR(G34/F34,"")</f>
        <v/>
      </c>
      <c r="M34" s="5" t="str">
        <f aca="false">IF(L34="","",IF(L34&lt;Config!$C$39,"Taya weak",IF(L34&gt;Config!$C$40,"Taya strong","OK")))</f>
        <v/>
      </c>
      <c r="N34" s="7"/>
      <c r="O34" s="6"/>
    </row>
    <row r="35" customFormat="false" ht="15" hidden="false" customHeight="false" outlineLevel="0" collapsed="false">
      <c r="A35" s="6"/>
      <c r="B35" s="20"/>
      <c r="C35" s="6"/>
      <c r="D35" s="6"/>
      <c r="E35" s="6"/>
      <c r="F35" s="6"/>
      <c r="G35" s="6"/>
      <c r="H35" s="6"/>
      <c r="I35" s="6"/>
      <c r="J35" s="6"/>
      <c r="K35" s="6"/>
      <c r="L35" s="12" t="str">
        <f aca="false">IFERROR(G35/F35,"")</f>
        <v/>
      </c>
      <c r="M35" s="5" t="str">
        <f aca="false">IF(L35="","",IF(L35&lt;Config!$C$39,"Taya weak",IF(L35&gt;Config!$C$40,"Taya strong","OK")))</f>
        <v/>
      </c>
      <c r="N35" s="7"/>
      <c r="O35" s="6"/>
    </row>
    <row r="36" customFormat="false" ht="15" hidden="false" customHeight="false" outlineLevel="0" collapsed="false">
      <c r="A36" s="6"/>
      <c r="B36" s="20"/>
      <c r="C36" s="6"/>
      <c r="D36" s="6"/>
      <c r="E36" s="6"/>
      <c r="F36" s="6"/>
      <c r="G36" s="6"/>
      <c r="H36" s="6"/>
      <c r="I36" s="6"/>
      <c r="J36" s="6"/>
      <c r="K36" s="6"/>
      <c r="L36" s="12" t="str">
        <f aca="false">IFERROR(G36/F36,"")</f>
        <v/>
      </c>
      <c r="M36" s="5" t="str">
        <f aca="false">IF(L36="","",IF(L36&lt;Config!$C$39,"Taya weak",IF(L36&gt;Config!$C$40,"Taya strong","OK")))</f>
        <v/>
      </c>
      <c r="N36" s="7"/>
      <c r="O36" s="6"/>
    </row>
    <row r="37" customFormat="false" ht="15" hidden="false" customHeight="false" outlineLevel="0" collapsed="false">
      <c r="A37" s="6"/>
      <c r="B37" s="20"/>
      <c r="C37" s="6"/>
      <c r="D37" s="6"/>
      <c r="E37" s="6"/>
      <c r="F37" s="6"/>
      <c r="G37" s="6"/>
      <c r="H37" s="6"/>
      <c r="I37" s="6"/>
      <c r="J37" s="6"/>
      <c r="K37" s="6"/>
      <c r="L37" s="12" t="str">
        <f aca="false">IFERROR(G37/F37,"")</f>
        <v/>
      </c>
      <c r="M37" s="5" t="str">
        <f aca="false">IF(L37="","",IF(L37&lt;Config!$C$39,"Taya weak",IF(L37&gt;Config!$C$40,"Taya strong","OK")))</f>
        <v/>
      </c>
      <c r="N37" s="7"/>
      <c r="O37" s="6"/>
    </row>
    <row r="38" customFormat="false" ht="15" hidden="false" customHeight="false" outlineLevel="0" collapsed="false">
      <c r="A38" s="6"/>
      <c r="B38" s="20"/>
      <c r="C38" s="6"/>
      <c r="D38" s="6"/>
      <c r="E38" s="6"/>
      <c r="F38" s="6"/>
      <c r="G38" s="6"/>
      <c r="H38" s="6"/>
      <c r="I38" s="6"/>
      <c r="J38" s="6"/>
      <c r="K38" s="6"/>
      <c r="L38" s="12" t="str">
        <f aca="false">IFERROR(G38/F38,"")</f>
        <v/>
      </c>
      <c r="M38" s="5" t="str">
        <f aca="false">IF(L38="","",IF(L38&lt;Config!$C$39,"Taya weak",IF(L38&gt;Config!$C$40,"Taya strong","OK")))</f>
        <v/>
      </c>
      <c r="N38" s="7"/>
      <c r="O38" s="6"/>
    </row>
    <row r="39" customFormat="false" ht="15" hidden="false" customHeight="false" outlineLevel="0" collapsed="false">
      <c r="A39" s="6"/>
      <c r="B39" s="20"/>
      <c r="C39" s="6"/>
      <c r="D39" s="6"/>
      <c r="E39" s="6"/>
      <c r="F39" s="6"/>
      <c r="G39" s="6"/>
      <c r="H39" s="6"/>
      <c r="I39" s="6"/>
      <c r="J39" s="6"/>
      <c r="K39" s="6"/>
      <c r="L39" s="12" t="str">
        <f aca="false">IFERROR(G39/F39,"")</f>
        <v/>
      </c>
      <c r="M39" s="5" t="str">
        <f aca="false">IF(L39="","",IF(L39&lt;Config!$C$39,"Taya weak",IF(L39&gt;Config!$C$40,"Taya strong","OK")))</f>
        <v/>
      </c>
      <c r="N39" s="7"/>
      <c r="O39" s="6"/>
    </row>
    <row r="40" customFormat="false" ht="15" hidden="false" customHeight="false" outlineLevel="0" collapsed="false">
      <c r="A40" s="6"/>
      <c r="B40" s="20"/>
      <c r="C40" s="6"/>
      <c r="D40" s="6"/>
      <c r="E40" s="6"/>
      <c r="F40" s="6"/>
      <c r="G40" s="6"/>
      <c r="H40" s="6"/>
      <c r="I40" s="6"/>
      <c r="J40" s="6"/>
      <c r="K40" s="6"/>
      <c r="L40" s="12" t="str">
        <f aca="false">IFERROR(G40/F40,"")</f>
        <v/>
      </c>
      <c r="M40" s="5" t="str">
        <f aca="false">IF(L40="","",IF(L40&lt;Config!$C$39,"Taya weak",IF(L40&gt;Config!$C$40,"Taya strong","OK")))</f>
        <v/>
      </c>
      <c r="N40" s="7"/>
      <c r="O40" s="6"/>
    </row>
    <row r="41" customFormat="false" ht="15" hidden="false" customHeight="false" outlineLevel="0" collapsed="false">
      <c r="A41" s="6"/>
      <c r="B41" s="20"/>
      <c r="C41" s="6"/>
      <c r="D41" s="6"/>
      <c r="E41" s="6"/>
      <c r="F41" s="6"/>
      <c r="G41" s="6"/>
      <c r="H41" s="6"/>
      <c r="I41" s="6"/>
      <c r="J41" s="6"/>
      <c r="K41" s="6"/>
      <c r="L41" s="12" t="str">
        <f aca="false">IFERROR(G41/F41,"")</f>
        <v/>
      </c>
      <c r="M41" s="5" t="str">
        <f aca="false">IF(L41="","",IF(L41&lt;Config!$C$39,"Taya weak",IF(L41&gt;Config!$C$40,"Taya strong","OK")))</f>
        <v/>
      </c>
      <c r="N41" s="7"/>
      <c r="O41" s="6"/>
    </row>
    <row r="42" customFormat="false" ht="15" hidden="false" customHeight="false" outlineLevel="0" collapsed="false">
      <c r="A42" s="6"/>
      <c r="B42" s="20"/>
      <c r="C42" s="6"/>
      <c r="D42" s="6"/>
      <c r="E42" s="6"/>
      <c r="F42" s="6"/>
      <c r="G42" s="6"/>
      <c r="H42" s="6"/>
      <c r="I42" s="6"/>
      <c r="J42" s="6"/>
      <c r="K42" s="6"/>
      <c r="L42" s="12" t="str">
        <f aca="false">IFERROR(G42/F42,"")</f>
        <v/>
      </c>
      <c r="M42" s="5" t="str">
        <f aca="false">IF(L42="","",IF(L42&lt;Config!$C$39,"Taya weak",IF(L42&gt;Config!$C$40,"Taya strong","OK")))</f>
        <v/>
      </c>
      <c r="N42" s="7"/>
      <c r="O42" s="6"/>
    </row>
    <row r="43" customFormat="false" ht="15" hidden="false" customHeight="false" outlineLevel="0" collapsed="false">
      <c r="A43" s="6"/>
      <c r="B43" s="20"/>
      <c r="C43" s="6"/>
      <c r="D43" s="6"/>
      <c r="E43" s="6"/>
      <c r="F43" s="6"/>
      <c r="G43" s="6"/>
      <c r="H43" s="6"/>
      <c r="I43" s="6"/>
      <c r="J43" s="6"/>
      <c r="K43" s="6"/>
      <c r="L43" s="12" t="str">
        <f aca="false">IFERROR(G43/F43,"")</f>
        <v/>
      </c>
      <c r="M43" s="5" t="str">
        <f aca="false">IF(L43="","",IF(L43&lt;Config!$C$39,"Taya weak",IF(L43&gt;Config!$C$40,"Taya strong","OK")))</f>
        <v/>
      </c>
      <c r="N43" s="7"/>
      <c r="O43" s="6"/>
    </row>
    <row r="44" customFormat="false" ht="15" hidden="false" customHeight="false" outlineLevel="0" collapsed="false">
      <c r="A44" s="6"/>
      <c r="B44" s="20"/>
      <c r="C44" s="6"/>
      <c r="D44" s="6"/>
      <c r="E44" s="6"/>
      <c r="F44" s="6"/>
      <c r="G44" s="6"/>
      <c r="H44" s="6"/>
      <c r="I44" s="6"/>
      <c r="J44" s="6"/>
      <c r="K44" s="6"/>
      <c r="L44" s="12" t="str">
        <f aca="false">IFERROR(G44/F44,"")</f>
        <v/>
      </c>
      <c r="M44" s="5" t="str">
        <f aca="false">IF(L44="","",IF(L44&lt;Config!$C$39,"Taya weak",IF(L44&gt;Config!$C$40,"Taya strong","OK")))</f>
        <v/>
      </c>
      <c r="N44" s="7"/>
      <c r="O44" s="6"/>
    </row>
    <row r="46" customFormat="false" ht="15" hidden="false" customHeight="false" outlineLevel="0" collapsed="false">
      <c r="A46" s="14" t="s">
        <v>304</v>
      </c>
      <c r="F46" s="19" t="n">
        <f aca="false">IFERROR(AVERAGE(F5:F44),"")</f>
        <v>18</v>
      </c>
      <c r="G46" s="19" t="n">
        <f aca="false">IFERROR(AVERAGE(G5:G44),"")</f>
        <v>7</v>
      </c>
      <c r="L46" s="15" t="n">
        <f aca="false">IFERROR(SUM(G5:G44)/SUM(F5:F44),"")</f>
        <v>0.388888888888889</v>
      </c>
      <c r="N46" s="15" t="n">
        <f aca="false">IFERROR(AVERAGE(N5:N44),"")</f>
        <v>0.83</v>
      </c>
    </row>
  </sheetData>
  <conditionalFormatting sqref="M5:M44">
    <cfRule type="expression" priority="2" aboveAverage="0" equalAverage="0" bottom="0" percent="0" rank="0" text="" dxfId="0">
      <formula>AND(M5&lt;&gt;"",M5&lt;&gt;"OK")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2026-10-07T07:10:16Z</dcterms:created>
  <dc:creator>openpyxl</dc:creator>
  <dc:description/>
  <dc:language>en-US</dc:language>
  <cp:lastModifiedBy/>
  <dcterms:modified xsi:type="dcterms:W3CDTF">2026-10-07T07:10:16Z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