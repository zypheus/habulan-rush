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ily Summary" sheetId="2" state="visible" r:id="rId4"/>
    <sheet name="Rules" sheetId="3" state="visible" r:id="rId5"/>
  </sheets>
  <definedNames>
    <definedName function="false" hidden="true" localSheetId="0" name="_xlnm._FilterDatabase" vbProcedure="false">Tracker!$A$5:$J$37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<sst xmlns="http://schemas.openxmlformats.org/spreadsheetml/2006/main" count="272" uniqueCount="120">
  <si>
    <t xml:space="preserve">HABULAN RUSH — 12-Day Production Tracker</t>
  </si>
  <si>
    <t xml:space="preserve">Source: GDD v2.0 §21 (Oct 7–18 build window). Edit blue cells only: Start Date, Owner, Status, Notes. Dates recalculate from Start Date.</t>
  </si>
  <si>
    <t xml:space="preserve">Start Date (Day 1)</t>
  </si>
  <si>
    <t xml:space="preserve">Overall % Done</t>
  </si>
  <si>
    <t xml:space="preserve">Blocked</t>
  </si>
  <si>
    <t xml:space="preserve">Legend: yellow/blue = input · P0 = must ship (MVP) · P1 = should ship · P2 = stretch. Owner roles are placeholders — replace with team names.</t>
  </si>
  <si>
    <t xml:space="preserve">ID</t>
  </si>
  <si>
    <t xml:space="preserve">Day</t>
  </si>
  <si>
    <t xml:space="preserve">Date</t>
  </si>
  <si>
    <t xml:space="preserve">Phase</t>
  </si>
  <si>
    <t xml:space="preserve">Task</t>
  </si>
  <si>
    <t xml:space="preserve">Area</t>
  </si>
  <si>
    <t xml:space="preserve">Owner</t>
  </si>
  <si>
    <t xml:space="preserve">Priority</t>
  </si>
  <si>
    <t xml:space="preserve">Status</t>
  </si>
  <si>
    <t xml:space="preserve">Notes</t>
  </si>
  <si>
    <t xml:space="preserve">T01</t>
  </si>
  <si>
    <t xml:space="preserve">Design Lock</t>
  </si>
  <si>
    <t xml:space="preserve">Approve GDD v2.0 and resolve open items from GDD System Review</t>
  </si>
  <si>
    <t xml:space="preserve">Design</t>
  </si>
  <si>
    <t xml:space="preserve">Lead</t>
  </si>
  <si>
    <t xml:space="preserve">P0</t>
  </si>
  <si>
    <t xml:space="preserve">Not Started</t>
  </si>
  <si>
    <t xml:space="preserve">T02</t>
  </si>
  <si>
    <t xml:space="preserve">Create repository, folder structure, branching rules, AI_LOG.md</t>
  </si>
  <si>
    <t xml:space="preserve">Tech</t>
  </si>
  <si>
    <t xml:space="preserve">Programmer</t>
  </si>
  <si>
    <t xml:space="preserve">T03</t>
  </si>
  <si>
    <t xml:space="preserve">Create Config module skeleton (all balance numbers from GDD)</t>
  </si>
  <si>
    <t xml:space="preserve">T04</t>
  </si>
  <si>
    <t xml:space="preserve">Finalize Config values with Balance Workbook baseline</t>
  </si>
  <si>
    <t xml:space="preserve">Designer</t>
  </si>
  <si>
    <t xml:space="preserve">T05</t>
  </si>
  <si>
    <t xml:space="preserve">Assign module ownership (Match, Tag, Skill, UI, Movement)</t>
  </si>
  <si>
    <t xml:space="preserve">Management</t>
  </si>
  <si>
    <t xml:space="preserve">T06</t>
  </si>
  <si>
    <t xml:space="preserve">Set up asset source list / disclosure log</t>
  </si>
  <si>
    <t xml:space="preserve">T07</t>
  </si>
  <si>
    <t xml:space="preserve">Core Loop</t>
  </si>
  <si>
    <t xml:space="preserve">MatchService: state machine MS_01–MS_06 + shuffle bag</t>
  </si>
  <si>
    <t xml:space="preserve">Code</t>
  </si>
  <si>
    <t xml:space="preserve">T08</t>
  </si>
  <si>
    <t xml:space="preserve">Barangay Kalsada greybox (150x150, 8 spawns, vaults, low gaps)</t>
  </si>
  <si>
    <t xml:space="preserve">Level</t>
  </si>
  <si>
    <t xml:space="preserve">Artist</t>
  </si>
  <si>
    <t xml:space="preserve">T09</t>
  </si>
  <si>
    <t xml:space="preserve">MovementController: walk, sprint, stamina, dash, slide</t>
  </si>
  <si>
    <t xml:space="preserve">T10</t>
  </si>
  <si>
    <t xml:space="preserve">Taya timer + round timer replication</t>
  </si>
  <si>
    <t xml:space="preserve">T11</t>
  </si>
  <si>
    <t xml:space="preserve">TagService: server-validated touch tag + tag transfer</t>
  </si>
  <si>
    <t xml:space="preserve">T12</t>
  </si>
  <si>
    <t xml:space="preserve">Safe Window, speed boost and Lock Delay on tag</t>
  </si>
  <si>
    <t xml:space="preserve">T13</t>
  </si>
  <si>
    <t xml:space="preserve">Pounce (wind-up, lunge, miss stun, cooldown)</t>
  </si>
  <si>
    <t xml:space="preserve">T14</t>
  </si>
  <si>
    <t xml:space="preserve">HUD v1: role banner, timer, scoreboard, stamina</t>
  </si>
  <si>
    <t xml:space="preserve">UI</t>
  </si>
  <si>
    <t xml:space="preserve">UI Dev</t>
  </si>
  <si>
    <t xml:space="preserve">T15</t>
  </si>
  <si>
    <t xml:space="preserve">Core loop internal playtest (4+ players)</t>
  </si>
  <si>
    <t xml:space="preserve">QA</t>
  </si>
  <si>
    <t xml:space="preserve">T16</t>
  </si>
  <si>
    <t xml:space="preserve">Skills + Diskarte</t>
  </si>
  <si>
    <t xml:space="preserve">TargetLockController: soft lock, lock break, lock cooldown</t>
  </si>
  <si>
    <t xml:space="preserve">T17</t>
  </si>
  <si>
    <t xml:space="preserve">Skill Draft UI + PickSkill remote (12 s)</t>
  </si>
  <si>
    <t xml:space="preserve">T18</t>
  </si>
  <si>
    <t xml:space="preserve">SkillService: Runner skills RS_01–RS_03</t>
  </si>
  <si>
    <t xml:space="preserve">T19</t>
  </si>
  <si>
    <t xml:space="preserve">SkillService: Taya skills TS_01–TS_03</t>
  </si>
  <si>
    <t xml:space="preserve">T20</t>
  </si>
  <si>
    <t xml:space="preserve">Skill VFX/SFX tells v1 (placeholder acceptable)</t>
  </si>
  <si>
    <t xml:space="preserve">Art/Audio</t>
  </si>
  <si>
    <t xml:space="preserve">P1</t>
  </si>
  <si>
    <t xml:space="preserve">T21</t>
  </si>
  <si>
    <t xml:space="preserve">Diskarte meter: gain events, anti-snowball rules, reset per round</t>
  </si>
  <si>
    <t xml:space="preserve">T22</t>
  </si>
  <si>
    <t xml:space="preserve">Diskarte Moves: LIKSI, BANTAY, PUSO</t>
  </si>
  <si>
    <t xml:space="preserve">T23</t>
  </si>
  <si>
    <t xml:space="preserve">Skill counter tests (1v1) and first balance pass</t>
  </si>
  <si>
    <t xml:space="preserve">T24</t>
  </si>
  <si>
    <t xml:space="preserve">Rush Systems</t>
  </si>
  <si>
    <t xml:space="preserve">Barangay Rush: Court Rush event (telegraph 2–3 s, counter-route)</t>
  </si>
  <si>
    <t xml:space="preserve">T25</t>
  </si>
  <si>
    <t xml:space="preserve">Phase controller: SIMULA / BARANGAY RUSH / HULING HABOL timings</t>
  </si>
  <si>
    <t xml:space="preserve">T26</t>
  </si>
  <si>
    <t xml:space="preserve">Huling Habol presentation: banners, music layers, countdown</t>
  </si>
  <si>
    <t xml:space="preserve">UI/Audio</t>
  </si>
  <si>
    <t xml:space="preserve">T27</t>
  </si>
  <si>
    <t xml:space="preserve">Clutch callouts + round-end recap + Match MVP screen</t>
  </si>
  <si>
    <t xml:space="preserve">T28</t>
  </si>
  <si>
    <t xml:space="preserve">Rush/Habol readability test with a spectator</t>
  </si>
  <si>
    <t xml:space="preserve">T29</t>
  </si>
  <si>
    <t xml:space="preserve">Second Map</t>
  </si>
  <si>
    <t xml:space="preserve">Binaha na Baryo greybox + flood level logic (only if core stable)</t>
  </si>
  <si>
    <t xml:space="preserve">T30</t>
  </si>
  <si>
    <t xml:space="preserve">Tutorial blockout: steps 1–4 (move, sprint, dash, tag)</t>
  </si>
  <si>
    <t xml:space="preserve">Code/UI</t>
  </si>
  <si>
    <t xml:space="preserve">T31</t>
  </si>
  <si>
    <t xml:space="preserve">Private lobby code + spectator camera (follow Taya)</t>
  </si>
  <si>
    <t xml:space="preserve">T32</t>
  </si>
  <si>
    <t xml:space="preserve">Day-12 checkpoint: go/no-go on second map and stretch cuts</t>
  </si>
  <si>
    <t xml:space="preserve">Daily Summary — Day 1 to Day 12</t>
  </si>
  <si>
    <t xml:space="preserve">Counts are formulas from the Tracker. Fill the blue columns at end of each day.</t>
  </si>
  <si>
    <t xml:space="preserve">Tasks</t>
  </si>
  <si>
    <t xml:space="preserve">Done</t>
  </si>
  <si>
    <t xml:space="preserve">In Progress</t>
  </si>
  <si>
    <t xml:space="preserve">% Done</t>
  </si>
  <si>
    <t xml:space="preserve">Hours Planned</t>
  </si>
  <si>
    <t xml:space="preserve">Hours Actual</t>
  </si>
  <si>
    <t xml:space="preserve">Blockers / End-of-day note</t>
  </si>
  <si>
    <t xml:space="preserve">Second Map / Checkpoint</t>
  </si>
  <si>
    <t xml:space="preserve">Total</t>
  </si>
  <si>
    <t xml:space="preserve">Tracker Rules &amp; Scope Guard</t>
  </si>
  <si>
    <t xml:space="preserve">• This tracker covers the 12-day build window (Oct 7–18). Oct 19–25 (polish, freeze, testing, submission) is in the Production &amp; Launch Plan.</t>
  </si>
  <si>
    <t xml:space="preserve">• SCOPE LOCK (GDD §20): never cut the tutorial or core tag loop to build a stretch feature. Cut P1/P2 first.</t>
  </si>
  <si>
    <t xml:space="preserve">• Day-12 checkpoint decides whether Binaha na Baryo continues and which P1 items are cut.</t>
  </si>
  <si>
    <t xml:space="preserve">• A task is Done only when it works in a live multiplayer server test, not just in Studio solo.</t>
  </si>
  <si>
    <t xml:space="preserve">• Log any AI-assisted work in AI_LOG.md the same day it is used.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</si>
</sst>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&quot;, &quot;mmm\ d&quot;, &quot;yyyy"/>
    <numFmt numFmtId="166" formatCode="0%"/>
    <numFmt numFmtId="167" formatCode="ddd\ mmm\ d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6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46302</v>
      </c>
      <c r="E3" s="3" t="s">
        <v>3</v>
      </c>
      <c r="F3" s="5" t="n">
        <f aca="false">IFERROR(COUNTIF(I6:I37,"Done")/COUNTA(A6:A37),0)</f>
        <v>0</v>
      </c>
      <c r="H3" s="3" t="s">
        <v>4</v>
      </c>
      <c r="I3" s="3" t="n">
        <f aca="false">COUNTIF(I6:I37,"Blocked")</f>
        <v>0</v>
      </c>
    </row>
    <row r="4" customFormat="false" ht="15" hidden="false" customHeight="false" outlineLevel="0" collapsed="false">
      <c r="A4" s="2" t="s">
        <v>5</v>
      </c>
    </row>
    <row r="5" customFormat="false" ht="15" hidden="false" customHeight="false" outlineLevel="0" collapsed="false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</row>
    <row r="6" customFormat="false" ht="15" hidden="false" customHeight="false" outlineLevel="0" collapsed="false">
      <c r="A6" s="7" t="s">
        <v>16</v>
      </c>
      <c r="B6" s="8" t="n">
        <v>1</v>
      </c>
      <c r="C6" s="9" t="n">
        <f aca="false">$C$3+B6-1</f>
        <v>46302</v>
      </c>
      <c r="D6" s="7" t="s">
        <v>17</v>
      </c>
      <c r="E6" s="7" t="s">
        <v>18</v>
      </c>
      <c r="F6" s="7" t="s">
        <v>19</v>
      </c>
      <c r="G6" s="10" t="s">
        <v>20</v>
      </c>
      <c r="H6" s="11" t="s">
        <v>21</v>
      </c>
      <c r="I6" s="11" t="s">
        <v>22</v>
      </c>
      <c r="J6" s="10"/>
    </row>
    <row r="7" customFormat="false" ht="15" hidden="false" customHeight="false" outlineLevel="0" collapsed="false">
      <c r="A7" s="7" t="s">
        <v>23</v>
      </c>
      <c r="B7" s="8" t="n">
        <v>1</v>
      </c>
      <c r="C7" s="9" t="n">
        <f aca="false">$C$3+B7-1</f>
        <v>46302</v>
      </c>
      <c r="D7" s="7" t="s">
        <v>17</v>
      </c>
      <c r="E7" s="7" t="s">
        <v>24</v>
      </c>
      <c r="F7" s="7" t="s">
        <v>25</v>
      </c>
      <c r="G7" s="10" t="s">
        <v>26</v>
      </c>
      <c r="H7" s="11" t="s">
        <v>21</v>
      </c>
      <c r="I7" s="11" t="s">
        <v>22</v>
      </c>
      <c r="J7" s="10"/>
    </row>
    <row r="8" customFormat="false" ht="15" hidden="false" customHeight="false" outlineLevel="0" collapsed="false">
      <c r="A8" s="7" t="s">
        <v>27</v>
      </c>
      <c r="B8" s="8" t="n">
        <v>1</v>
      </c>
      <c r="C8" s="9" t="n">
        <f aca="false">$C$3+B8-1</f>
        <v>46302</v>
      </c>
      <c r="D8" s="7" t="s">
        <v>17</v>
      </c>
      <c r="E8" s="7" t="s">
        <v>28</v>
      </c>
      <c r="F8" s="7" t="s">
        <v>25</v>
      </c>
      <c r="G8" s="10" t="s">
        <v>26</v>
      </c>
      <c r="H8" s="11" t="s">
        <v>21</v>
      </c>
      <c r="I8" s="11" t="s">
        <v>22</v>
      </c>
      <c r="J8" s="10"/>
    </row>
    <row r="9" customFormat="false" ht="15" hidden="false" customHeight="false" outlineLevel="0" collapsed="false">
      <c r="A9" s="7" t="s">
        <v>29</v>
      </c>
      <c r="B9" s="8" t="n">
        <v>2</v>
      </c>
      <c r="C9" s="9" t="n">
        <f aca="false">$C$3+B9-1</f>
        <v>46303</v>
      </c>
      <c r="D9" s="7" t="s">
        <v>17</v>
      </c>
      <c r="E9" s="7" t="s">
        <v>30</v>
      </c>
      <c r="F9" s="7" t="s">
        <v>19</v>
      </c>
      <c r="G9" s="10" t="s">
        <v>31</v>
      </c>
      <c r="H9" s="11" t="s">
        <v>21</v>
      </c>
      <c r="I9" s="11" t="s">
        <v>22</v>
      </c>
      <c r="J9" s="10"/>
    </row>
    <row r="10" customFormat="false" ht="15" hidden="false" customHeight="false" outlineLevel="0" collapsed="false">
      <c r="A10" s="7" t="s">
        <v>32</v>
      </c>
      <c r="B10" s="8" t="n">
        <v>2</v>
      </c>
      <c r="C10" s="9" t="n">
        <f aca="false">$C$3+B10-1</f>
        <v>46303</v>
      </c>
      <c r="D10" s="7" t="s">
        <v>17</v>
      </c>
      <c r="E10" s="7" t="s">
        <v>33</v>
      </c>
      <c r="F10" s="7" t="s">
        <v>34</v>
      </c>
      <c r="G10" s="10" t="s">
        <v>20</v>
      </c>
      <c r="H10" s="11" t="s">
        <v>21</v>
      </c>
      <c r="I10" s="11" t="s">
        <v>22</v>
      </c>
      <c r="J10" s="10"/>
    </row>
    <row r="11" customFormat="false" ht="15" hidden="false" customHeight="false" outlineLevel="0" collapsed="false">
      <c r="A11" s="7" t="s">
        <v>35</v>
      </c>
      <c r="B11" s="8" t="n">
        <v>2</v>
      </c>
      <c r="C11" s="9" t="n">
        <f aca="false">$C$3+B11-1</f>
        <v>46303</v>
      </c>
      <c r="D11" s="7" t="s">
        <v>17</v>
      </c>
      <c r="E11" s="7" t="s">
        <v>36</v>
      </c>
      <c r="F11" s="7" t="s">
        <v>34</v>
      </c>
      <c r="G11" s="10" t="s">
        <v>20</v>
      </c>
      <c r="H11" s="11" t="s">
        <v>21</v>
      </c>
      <c r="I11" s="11" t="s">
        <v>22</v>
      </c>
      <c r="J11" s="10"/>
    </row>
    <row r="12" customFormat="false" ht="15" hidden="false" customHeight="false" outlineLevel="0" collapsed="false">
      <c r="A12" s="7" t="s">
        <v>37</v>
      </c>
      <c r="B12" s="8" t="n">
        <v>3</v>
      </c>
      <c r="C12" s="9" t="n">
        <f aca="false">$C$3+B12-1</f>
        <v>46304</v>
      </c>
      <c r="D12" s="7" t="s">
        <v>38</v>
      </c>
      <c r="E12" s="7" t="s">
        <v>39</v>
      </c>
      <c r="F12" s="7" t="s">
        <v>40</v>
      </c>
      <c r="G12" s="10" t="s">
        <v>26</v>
      </c>
      <c r="H12" s="11" t="s">
        <v>21</v>
      </c>
      <c r="I12" s="11" t="s">
        <v>22</v>
      </c>
      <c r="J12" s="10"/>
    </row>
    <row r="13" customFormat="false" ht="15" hidden="false" customHeight="false" outlineLevel="0" collapsed="false">
      <c r="A13" s="7" t="s">
        <v>41</v>
      </c>
      <c r="B13" s="8" t="n">
        <v>3</v>
      </c>
      <c r="C13" s="9" t="n">
        <f aca="false">$C$3+B13-1</f>
        <v>46304</v>
      </c>
      <c r="D13" s="7" t="s">
        <v>38</v>
      </c>
      <c r="E13" s="7" t="s">
        <v>42</v>
      </c>
      <c r="F13" s="7" t="s">
        <v>43</v>
      </c>
      <c r="G13" s="10" t="s">
        <v>44</v>
      </c>
      <c r="H13" s="11" t="s">
        <v>21</v>
      </c>
      <c r="I13" s="11" t="s">
        <v>22</v>
      </c>
      <c r="J13" s="10"/>
    </row>
    <row r="14" customFormat="false" ht="15" hidden="false" customHeight="false" outlineLevel="0" collapsed="false">
      <c r="A14" s="7" t="s">
        <v>45</v>
      </c>
      <c r="B14" s="8" t="n">
        <v>4</v>
      </c>
      <c r="C14" s="9" t="n">
        <f aca="false">$C$3+B14-1</f>
        <v>46305</v>
      </c>
      <c r="D14" s="7" t="s">
        <v>38</v>
      </c>
      <c r="E14" s="7" t="s">
        <v>46</v>
      </c>
      <c r="F14" s="7" t="s">
        <v>40</v>
      </c>
      <c r="G14" s="10" t="s">
        <v>26</v>
      </c>
      <c r="H14" s="11" t="s">
        <v>21</v>
      </c>
      <c r="I14" s="11" t="s">
        <v>22</v>
      </c>
      <c r="J14" s="10"/>
    </row>
    <row r="15" customFormat="false" ht="15" hidden="false" customHeight="false" outlineLevel="0" collapsed="false">
      <c r="A15" s="7" t="s">
        <v>47</v>
      </c>
      <c r="B15" s="8" t="n">
        <v>4</v>
      </c>
      <c r="C15" s="9" t="n">
        <f aca="false">$C$3+B15-1</f>
        <v>46305</v>
      </c>
      <c r="D15" s="7" t="s">
        <v>38</v>
      </c>
      <c r="E15" s="7" t="s">
        <v>48</v>
      </c>
      <c r="F15" s="7" t="s">
        <v>40</v>
      </c>
      <c r="G15" s="10" t="s">
        <v>26</v>
      </c>
      <c r="H15" s="11" t="s">
        <v>21</v>
      </c>
      <c r="I15" s="11" t="s">
        <v>22</v>
      </c>
      <c r="J15" s="10"/>
    </row>
    <row r="16" customFormat="false" ht="15" hidden="false" customHeight="false" outlineLevel="0" collapsed="false">
      <c r="A16" s="7" t="s">
        <v>49</v>
      </c>
      <c r="B16" s="8" t="n">
        <v>5</v>
      </c>
      <c r="C16" s="9" t="n">
        <f aca="false">$C$3+B16-1</f>
        <v>46306</v>
      </c>
      <c r="D16" s="7" t="s">
        <v>38</v>
      </c>
      <c r="E16" s="7" t="s">
        <v>50</v>
      </c>
      <c r="F16" s="7" t="s">
        <v>40</v>
      </c>
      <c r="G16" s="10" t="s">
        <v>26</v>
      </c>
      <c r="H16" s="11" t="s">
        <v>21</v>
      </c>
      <c r="I16" s="11" t="s">
        <v>22</v>
      </c>
      <c r="J16" s="10"/>
    </row>
    <row r="17" customFormat="false" ht="15" hidden="false" customHeight="false" outlineLevel="0" collapsed="false">
      <c r="A17" s="7" t="s">
        <v>51</v>
      </c>
      <c r="B17" s="8" t="n">
        <v>5</v>
      </c>
      <c r="C17" s="9" t="n">
        <f aca="false">$C$3+B17-1</f>
        <v>46306</v>
      </c>
      <c r="D17" s="7" t="s">
        <v>38</v>
      </c>
      <c r="E17" s="7" t="s">
        <v>52</v>
      </c>
      <c r="F17" s="7" t="s">
        <v>40</v>
      </c>
      <c r="G17" s="10" t="s">
        <v>26</v>
      </c>
      <c r="H17" s="11" t="s">
        <v>21</v>
      </c>
      <c r="I17" s="11" t="s">
        <v>22</v>
      </c>
      <c r="J17" s="10"/>
    </row>
    <row r="18" customFormat="false" ht="15" hidden="false" customHeight="false" outlineLevel="0" collapsed="false">
      <c r="A18" s="7" t="s">
        <v>53</v>
      </c>
      <c r="B18" s="8" t="n">
        <v>6</v>
      </c>
      <c r="C18" s="9" t="n">
        <f aca="false">$C$3+B18-1</f>
        <v>46307</v>
      </c>
      <c r="D18" s="7" t="s">
        <v>38</v>
      </c>
      <c r="E18" s="7" t="s">
        <v>54</v>
      </c>
      <c r="F18" s="7" t="s">
        <v>40</v>
      </c>
      <c r="G18" s="10" t="s">
        <v>26</v>
      </c>
      <c r="H18" s="11" t="s">
        <v>21</v>
      </c>
      <c r="I18" s="11" t="s">
        <v>22</v>
      </c>
      <c r="J18" s="10"/>
    </row>
    <row r="19" customFormat="false" ht="15" hidden="false" customHeight="false" outlineLevel="0" collapsed="false">
      <c r="A19" s="7" t="s">
        <v>55</v>
      </c>
      <c r="B19" s="8" t="n">
        <v>6</v>
      </c>
      <c r="C19" s="9" t="n">
        <f aca="false">$C$3+B19-1</f>
        <v>46307</v>
      </c>
      <c r="D19" s="7" t="s">
        <v>38</v>
      </c>
      <c r="E19" s="7" t="s">
        <v>56</v>
      </c>
      <c r="F19" s="7" t="s">
        <v>57</v>
      </c>
      <c r="G19" s="10" t="s">
        <v>58</v>
      </c>
      <c r="H19" s="11" t="s">
        <v>21</v>
      </c>
      <c r="I19" s="11" t="s">
        <v>22</v>
      </c>
      <c r="J19" s="10"/>
    </row>
    <row r="20" customFormat="false" ht="15" hidden="false" customHeight="false" outlineLevel="0" collapsed="false">
      <c r="A20" s="7" t="s">
        <v>59</v>
      </c>
      <c r="B20" s="8" t="n">
        <v>6</v>
      </c>
      <c r="C20" s="9" t="n">
        <f aca="false">$C$3+B20-1</f>
        <v>46307</v>
      </c>
      <c r="D20" s="7" t="s">
        <v>38</v>
      </c>
      <c r="E20" s="7" t="s">
        <v>60</v>
      </c>
      <c r="F20" s="7" t="s">
        <v>61</v>
      </c>
      <c r="G20" s="10" t="s">
        <v>61</v>
      </c>
      <c r="H20" s="11" t="s">
        <v>21</v>
      </c>
      <c r="I20" s="11" t="s">
        <v>22</v>
      </c>
      <c r="J20" s="10"/>
    </row>
    <row r="21" customFormat="false" ht="15" hidden="false" customHeight="false" outlineLevel="0" collapsed="false">
      <c r="A21" s="7" t="s">
        <v>62</v>
      </c>
      <c r="B21" s="8" t="n">
        <v>7</v>
      </c>
      <c r="C21" s="9" t="n">
        <f aca="false">$C$3+B21-1</f>
        <v>46308</v>
      </c>
      <c r="D21" s="7" t="s">
        <v>63</v>
      </c>
      <c r="E21" s="7" t="s">
        <v>64</v>
      </c>
      <c r="F21" s="7" t="s">
        <v>40</v>
      </c>
      <c r="G21" s="10" t="s">
        <v>26</v>
      </c>
      <c r="H21" s="11" t="s">
        <v>21</v>
      </c>
      <c r="I21" s="11" t="s">
        <v>22</v>
      </c>
      <c r="J21" s="10"/>
    </row>
    <row r="22" customFormat="false" ht="15" hidden="false" customHeight="false" outlineLevel="0" collapsed="false">
      <c r="A22" s="7" t="s">
        <v>65</v>
      </c>
      <c r="B22" s="8" t="n">
        <v>7</v>
      </c>
      <c r="C22" s="9" t="n">
        <f aca="false">$C$3+B22-1</f>
        <v>46308</v>
      </c>
      <c r="D22" s="7" t="s">
        <v>63</v>
      </c>
      <c r="E22" s="7" t="s">
        <v>66</v>
      </c>
      <c r="F22" s="7" t="s">
        <v>57</v>
      </c>
      <c r="G22" s="10" t="s">
        <v>58</v>
      </c>
      <c r="H22" s="11" t="s">
        <v>21</v>
      </c>
      <c r="I22" s="11" t="s">
        <v>22</v>
      </c>
      <c r="J22" s="10"/>
    </row>
    <row r="23" customFormat="false" ht="15" hidden="false" customHeight="false" outlineLevel="0" collapsed="false">
      <c r="A23" s="7" t="s">
        <v>67</v>
      </c>
      <c r="B23" s="8" t="n">
        <v>8</v>
      </c>
      <c r="C23" s="9" t="n">
        <f aca="false">$C$3+B23-1</f>
        <v>46309</v>
      </c>
      <c r="D23" s="7" t="s">
        <v>63</v>
      </c>
      <c r="E23" s="7" t="s">
        <v>68</v>
      </c>
      <c r="F23" s="7" t="s">
        <v>40</v>
      </c>
      <c r="G23" s="10" t="s">
        <v>26</v>
      </c>
      <c r="H23" s="11" t="s">
        <v>21</v>
      </c>
      <c r="I23" s="11" t="s">
        <v>22</v>
      </c>
      <c r="J23" s="10"/>
    </row>
    <row r="24" customFormat="false" ht="15" hidden="false" customHeight="false" outlineLevel="0" collapsed="false">
      <c r="A24" s="7" t="s">
        <v>69</v>
      </c>
      <c r="B24" s="8" t="n">
        <v>8</v>
      </c>
      <c r="C24" s="9" t="n">
        <f aca="false">$C$3+B24-1</f>
        <v>46309</v>
      </c>
      <c r="D24" s="7" t="s">
        <v>63</v>
      </c>
      <c r="E24" s="7" t="s">
        <v>70</v>
      </c>
      <c r="F24" s="7" t="s">
        <v>40</v>
      </c>
      <c r="G24" s="10" t="s">
        <v>26</v>
      </c>
      <c r="H24" s="11" t="s">
        <v>21</v>
      </c>
      <c r="I24" s="11" t="s">
        <v>22</v>
      </c>
      <c r="J24" s="10"/>
    </row>
    <row r="25" customFormat="false" ht="15" hidden="false" customHeight="false" outlineLevel="0" collapsed="false">
      <c r="A25" s="7" t="s">
        <v>71</v>
      </c>
      <c r="B25" s="8" t="n">
        <v>8</v>
      </c>
      <c r="C25" s="9" t="n">
        <f aca="false">$C$3+B25-1</f>
        <v>46309</v>
      </c>
      <c r="D25" s="7" t="s">
        <v>63</v>
      </c>
      <c r="E25" s="7" t="s">
        <v>72</v>
      </c>
      <c r="F25" s="7" t="s">
        <v>73</v>
      </c>
      <c r="G25" s="10" t="s">
        <v>44</v>
      </c>
      <c r="H25" s="11" t="s">
        <v>74</v>
      </c>
      <c r="I25" s="11" t="s">
        <v>22</v>
      </c>
      <c r="J25" s="10"/>
    </row>
    <row r="26" customFormat="false" ht="15" hidden="false" customHeight="false" outlineLevel="0" collapsed="false">
      <c r="A26" s="7" t="s">
        <v>75</v>
      </c>
      <c r="B26" s="8" t="n">
        <v>9</v>
      </c>
      <c r="C26" s="9" t="n">
        <f aca="false">$C$3+B26-1</f>
        <v>46310</v>
      </c>
      <c r="D26" s="7" t="s">
        <v>63</v>
      </c>
      <c r="E26" s="7" t="s">
        <v>76</v>
      </c>
      <c r="F26" s="7" t="s">
        <v>40</v>
      </c>
      <c r="G26" s="10" t="s">
        <v>26</v>
      </c>
      <c r="H26" s="11" t="s">
        <v>21</v>
      </c>
      <c r="I26" s="11" t="s">
        <v>22</v>
      </c>
      <c r="J26" s="10"/>
    </row>
    <row r="27" customFormat="false" ht="15" hidden="false" customHeight="false" outlineLevel="0" collapsed="false">
      <c r="A27" s="7" t="s">
        <v>77</v>
      </c>
      <c r="B27" s="8" t="n">
        <v>9</v>
      </c>
      <c r="C27" s="9" t="n">
        <f aca="false">$C$3+B27-1</f>
        <v>46310</v>
      </c>
      <c r="D27" s="7" t="s">
        <v>63</v>
      </c>
      <c r="E27" s="7" t="s">
        <v>78</v>
      </c>
      <c r="F27" s="7" t="s">
        <v>40</v>
      </c>
      <c r="G27" s="10" t="s">
        <v>26</v>
      </c>
      <c r="H27" s="11" t="s">
        <v>21</v>
      </c>
      <c r="I27" s="11" t="s">
        <v>22</v>
      </c>
      <c r="J27" s="10"/>
    </row>
    <row r="28" customFormat="false" ht="15" hidden="false" customHeight="false" outlineLevel="0" collapsed="false">
      <c r="A28" s="7" t="s">
        <v>79</v>
      </c>
      <c r="B28" s="8" t="n">
        <v>9</v>
      </c>
      <c r="C28" s="9" t="n">
        <f aca="false">$C$3+B28-1</f>
        <v>46310</v>
      </c>
      <c r="D28" s="7" t="s">
        <v>63</v>
      </c>
      <c r="E28" s="7" t="s">
        <v>80</v>
      </c>
      <c r="F28" s="7" t="s">
        <v>61</v>
      </c>
      <c r="G28" s="10" t="s">
        <v>61</v>
      </c>
      <c r="H28" s="11" t="s">
        <v>21</v>
      </c>
      <c r="I28" s="11" t="s">
        <v>22</v>
      </c>
      <c r="J28" s="10"/>
    </row>
    <row r="29" customFormat="false" ht="15" hidden="false" customHeight="false" outlineLevel="0" collapsed="false">
      <c r="A29" s="7" t="s">
        <v>81</v>
      </c>
      <c r="B29" s="8" t="n">
        <v>10</v>
      </c>
      <c r="C29" s="9" t="n">
        <f aca="false">$C$3+B29-1</f>
        <v>46311</v>
      </c>
      <c r="D29" s="7" t="s">
        <v>82</v>
      </c>
      <c r="E29" s="7" t="s">
        <v>83</v>
      </c>
      <c r="F29" s="7" t="s">
        <v>40</v>
      </c>
      <c r="G29" s="10" t="s">
        <v>26</v>
      </c>
      <c r="H29" s="11" t="s">
        <v>21</v>
      </c>
      <c r="I29" s="11" t="s">
        <v>22</v>
      </c>
      <c r="J29" s="10"/>
    </row>
    <row r="30" customFormat="false" ht="15" hidden="false" customHeight="false" outlineLevel="0" collapsed="false">
      <c r="A30" s="7" t="s">
        <v>84</v>
      </c>
      <c r="B30" s="8" t="n">
        <v>10</v>
      </c>
      <c r="C30" s="9" t="n">
        <f aca="false">$C$3+B30-1</f>
        <v>46311</v>
      </c>
      <c r="D30" s="7" t="s">
        <v>82</v>
      </c>
      <c r="E30" s="7" t="s">
        <v>85</v>
      </c>
      <c r="F30" s="7" t="s">
        <v>40</v>
      </c>
      <c r="G30" s="10" t="s">
        <v>26</v>
      </c>
      <c r="H30" s="11" t="s">
        <v>21</v>
      </c>
      <c r="I30" s="11" t="s">
        <v>22</v>
      </c>
      <c r="J30" s="10"/>
    </row>
    <row r="31" customFormat="false" ht="15" hidden="false" customHeight="false" outlineLevel="0" collapsed="false">
      <c r="A31" s="7" t="s">
        <v>86</v>
      </c>
      <c r="B31" s="8" t="n">
        <v>11</v>
      </c>
      <c r="C31" s="9" t="n">
        <f aca="false">$C$3+B31-1</f>
        <v>46312</v>
      </c>
      <c r="D31" s="7" t="s">
        <v>82</v>
      </c>
      <c r="E31" s="7" t="s">
        <v>87</v>
      </c>
      <c r="F31" s="7" t="s">
        <v>88</v>
      </c>
      <c r="G31" s="10" t="s">
        <v>58</v>
      </c>
      <c r="H31" s="11" t="s">
        <v>21</v>
      </c>
      <c r="I31" s="11" t="s">
        <v>22</v>
      </c>
      <c r="J31" s="10"/>
    </row>
    <row r="32" customFormat="false" ht="15" hidden="false" customHeight="false" outlineLevel="0" collapsed="false">
      <c r="A32" s="7" t="s">
        <v>89</v>
      </c>
      <c r="B32" s="8" t="n">
        <v>11</v>
      </c>
      <c r="C32" s="9" t="n">
        <f aca="false">$C$3+B32-1</f>
        <v>46312</v>
      </c>
      <c r="D32" s="7" t="s">
        <v>82</v>
      </c>
      <c r="E32" s="7" t="s">
        <v>90</v>
      </c>
      <c r="F32" s="7" t="s">
        <v>57</v>
      </c>
      <c r="G32" s="10" t="s">
        <v>58</v>
      </c>
      <c r="H32" s="11" t="s">
        <v>74</v>
      </c>
      <c r="I32" s="11" t="s">
        <v>22</v>
      </c>
      <c r="J32" s="10"/>
    </row>
    <row r="33" customFormat="false" ht="15" hidden="false" customHeight="false" outlineLevel="0" collapsed="false">
      <c r="A33" s="7" t="s">
        <v>91</v>
      </c>
      <c r="B33" s="8" t="n">
        <v>11</v>
      </c>
      <c r="C33" s="9" t="n">
        <f aca="false">$C$3+B33-1</f>
        <v>46312</v>
      </c>
      <c r="D33" s="7" t="s">
        <v>82</v>
      </c>
      <c r="E33" s="7" t="s">
        <v>92</v>
      </c>
      <c r="F33" s="7" t="s">
        <v>61</v>
      </c>
      <c r="G33" s="10" t="s">
        <v>61</v>
      </c>
      <c r="H33" s="11" t="s">
        <v>21</v>
      </c>
      <c r="I33" s="11" t="s">
        <v>22</v>
      </c>
      <c r="J33" s="10"/>
    </row>
    <row r="34" customFormat="false" ht="15" hidden="false" customHeight="false" outlineLevel="0" collapsed="false">
      <c r="A34" s="7" t="s">
        <v>93</v>
      </c>
      <c r="B34" s="8" t="n">
        <v>12</v>
      </c>
      <c r="C34" s="9" t="n">
        <f aca="false">$C$3+B34-1</f>
        <v>46313</v>
      </c>
      <c r="D34" s="7" t="s">
        <v>94</v>
      </c>
      <c r="E34" s="7" t="s">
        <v>95</v>
      </c>
      <c r="F34" s="7" t="s">
        <v>43</v>
      </c>
      <c r="G34" s="10" t="s">
        <v>44</v>
      </c>
      <c r="H34" s="11" t="s">
        <v>74</v>
      </c>
      <c r="I34" s="11" t="s">
        <v>22</v>
      </c>
      <c r="J34" s="10"/>
    </row>
    <row r="35" customFormat="false" ht="15" hidden="false" customHeight="false" outlineLevel="0" collapsed="false">
      <c r="A35" s="7" t="s">
        <v>96</v>
      </c>
      <c r="B35" s="8" t="n">
        <v>12</v>
      </c>
      <c r="C35" s="9" t="n">
        <f aca="false">$C$3+B35-1</f>
        <v>46313</v>
      </c>
      <c r="D35" s="7" t="s">
        <v>94</v>
      </c>
      <c r="E35" s="7" t="s">
        <v>97</v>
      </c>
      <c r="F35" s="7" t="s">
        <v>98</v>
      </c>
      <c r="G35" s="10" t="s">
        <v>58</v>
      </c>
      <c r="H35" s="11" t="s">
        <v>21</v>
      </c>
      <c r="I35" s="11" t="s">
        <v>22</v>
      </c>
      <c r="J35" s="10"/>
    </row>
    <row r="36" customFormat="false" ht="15" hidden="false" customHeight="false" outlineLevel="0" collapsed="false">
      <c r="A36" s="7" t="s">
        <v>99</v>
      </c>
      <c r="B36" s="8" t="n">
        <v>12</v>
      </c>
      <c r="C36" s="9" t="n">
        <f aca="false">$C$3+B36-1</f>
        <v>46313</v>
      </c>
      <c r="D36" s="7" t="s">
        <v>94</v>
      </c>
      <c r="E36" s="7" t="s">
        <v>100</v>
      </c>
      <c r="F36" s="7" t="s">
        <v>40</v>
      </c>
      <c r="G36" s="10" t="s">
        <v>26</v>
      </c>
      <c r="H36" s="11" t="s">
        <v>21</v>
      </c>
      <c r="I36" s="11" t="s">
        <v>22</v>
      </c>
      <c r="J36" s="10"/>
    </row>
    <row r="37" customFormat="false" ht="15" hidden="false" customHeight="false" outlineLevel="0" collapsed="false">
      <c r="A37" s="7" t="s">
        <v>101</v>
      </c>
      <c r="B37" s="8" t="n">
        <v>12</v>
      </c>
      <c r="C37" s="9" t="n">
        <f aca="false">$C$3+B37-1</f>
        <v>46313</v>
      </c>
      <c r="D37" s="7" t="s">
        <v>94</v>
      </c>
      <c r="E37" s="7" t="s">
        <v>102</v>
      </c>
      <c r="F37" s="7" t="s">
        <v>34</v>
      </c>
      <c r="G37" s="10" t="s">
        <v>20</v>
      </c>
      <c r="H37" s="11" t="s">
        <v>21</v>
      </c>
      <c r="I37" s="11" t="s">
        <v>22</v>
      </c>
      <c r="J37" s="10"/>
    </row>
  </sheetData>
  <autoFilter ref="A5:J37"/>
  <conditionalFormatting sqref="I6:I37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false" errorStyle="stop" operator="between" showDropDown="false" showErrorMessage="false" showInputMessage="false" sqref="I6:I37" type="list">
      <formula1>"Not Started,In Progress,Blocked,Done"</formula1>
      <formula2>0</formula2>
    </dataValidation>
    <dataValidation allowBlank="false" errorStyle="stop" operator="between" showDropDown="false" showErrorMessage="false" showInputMessage="false" sqref="H6:H37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10" min="9" style="0" width="13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6" t="s">
        <v>7</v>
      </c>
      <c r="B4" s="6" t="s">
        <v>8</v>
      </c>
      <c r="C4" s="6" t="s">
        <v>9</v>
      </c>
      <c r="D4" s="6" t="s">
        <v>105</v>
      </c>
      <c r="E4" s="6" t="s">
        <v>106</v>
      </c>
      <c r="F4" s="6" t="s">
        <v>107</v>
      </c>
      <c r="G4" s="6" t="s">
        <v>4</v>
      </c>
      <c r="H4" s="6" t="s">
        <v>108</v>
      </c>
      <c r="I4" s="6" t="s">
        <v>109</v>
      </c>
      <c r="J4" s="6" t="s">
        <v>110</v>
      </c>
      <c r="K4" s="6" t="s">
        <v>111</v>
      </c>
    </row>
    <row r="5" customFormat="false" ht="15" hidden="false" customHeight="false" outlineLevel="0" collapsed="false">
      <c r="A5" s="12" t="n">
        <v>1</v>
      </c>
      <c r="B5" s="13" t="n">
        <f aca="false">Tracker!$C$3+A5-1</f>
        <v>46302</v>
      </c>
      <c r="C5" s="7" t="s">
        <v>17</v>
      </c>
      <c r="D5" s="7" t="n">
        <f aca="false">COUNTIF(Tracker!$B$6:$B$37,A5)</f>
        <v>3</v>
      </c>
      <c r="E5" s="7" t="n">
        <f aca="false">COUNTIFS(Tracker!$B$6:$B$37,A5,Tracker!$I$6:$I$37,"Done")</f>
        <v>0</v>
      </c>
      <c r="F5" s="7" t="n">
        <f aca="false">COUNTIFS(Tracker!$B$6:$B$37,A5,Tracker!$I$6:$I$37,"In Progress")</f>
        <v>0</v>
      </c>
      <c r="G5" s="14" t="n">
        <f aca="false">COUNTIFS(Tracker!$B$6:$B$37,A5,Tracker!$I$6:$I$37,"Blocked")</f>
        <v>0</v>
      </c>
      <c r="H5" s="15" t="n">
        <f aca="false">IFERROR(E5/D5,0)</f>
        <v>0</v>
      </c>
      <c r="I5" s="10"/>
      <c r="J5" s="10"/>
      <c r="K5" s="10"/>
    </row>
    <row r="6" customFormat="false" ht="15" hidden="false" customHeight="false" outlineLevel="0" collapsed="false">
      <c r="A6" s="12" t="n">
        <v>2</v>
      </c>
      <c r="B6" s="13" t="n">
        <f aca="false">Tracker!$C$3+A6-1</f>
        <v>46303</v>
      </c>
      <c r="C6" s="7" t="s">
        <v>17</v>
      </c>
      <c r="D6" s="7" t="n">
        <f aca="false">COUNTIF(Tracker!$B$6:$B$37,A6)</f>
        <v>3</v>
      </c>
      <c r="E6" s="7" t="n">
        <f aca="false">COUNTIFS(Tracker!$B$6:$B$37,A6,Tracker!$I$6:$I$37,"Done")</f>
        <v>0</v>
      </c>
      <c r="F6" s="7" t="n">
        <f aca="false">COUNTIFS(Tracker!$B$6:$B$37,A6,Tracker!$I$6:$I$37,"In Progress")</f>
        <v>0</v>
      </c>
      <c r="G6" s="14" t="n">
        <f aca="false">COUNTIFS(Tracker!$B$6:$B$37,A6,Tracker!$I$6:$I$37,"Blocked")</f>
        <v>0</v>
      </c>
      <c r="H6" s="15" t="n">
        <f aca="false">IFERROR(E6/D6,0)</f>
        <v>0</v>
      </c>
      <c r="I6" s="10"/>
      <c r="J6" s="10"/>
      <c r="K6" s="10"/>
    </row>
    <row r="7" customFormat="false" ht="15" hidden="false" customHeight="false" outlineLevel="0" collapsed="false">
      <c r="A7" s="12" t="n">
        <v>3</v>
      </c>
      <c r="B7" s="13" t="n">
        <f aca="false">Tracker!$C$3+A7-1</f>
        <v>46304</v>
      </c>
      <c r="C7" s="7" t="s">
        <v>38</v>
      </c>
      <c r="D7" s="7" t="n">
        <f aca="false">COUNTIF(Tracker!$B$6:$B$37,A7)</f>
        <v>2</v>
      </c>
      <c r="E7" s="7" t="n">
        <f aca="false">COUNTIFS(Tracker!$B$6:$B$37,A7,Tracker!$I$6:$I$37,"Done")</f>
        <v>0</v>
      </c>
      <c r="F7" s="7" t="n">
        <f aca="false">COUNTIFS(Tracker!$B$6:$B$37,A7,Tracker!$I$6:$I$37,"In Progress")</f>
        <v>0</v>
      </c>
      <c r="G7" s="14" t="n">
        <f aca="false">COUNTIFS(Tracker!$B$6:$B$37,A7,Tracker!$I$6:$I$37,"Blocked")</f>
        <v>0</v>
      </c>
      <c r="H7" s="15" t="n">
        <f aca="false">IFERROR(E7/D7,0)</f>
        <v>0</v>
      </c>
      <c r="I7" s="10"/>
      <c r="J7" s="10"/>
      <c r="K7" s="10"/>
    </row>
    <row r="8" customFormat="false" ht="15" hidden="false" customHeight="false" outlineLevel="0" collapsed="false">
      <c r="A8" s="12" t="n">
        <v>4</v>
      </c>
      <c r="B8" s="13" t="n">
        <f aca="false">Tracker!$C$3+A8-1</f>
        <v>46305</v>
      </c>
      <c r="C8" s="7" t="s">
        <v>38</v>
      </c>
      <c r="D8" s="7" t="n">
        <f aca="false">COUNTIF(Tracker!$B$6:$B$37,A8)</f>
        <v>2</v>
      </c>
      <c r="E8" s="7" t="n">
        <f aca="false">COUNTIFS(Tracker!$B$6:$B$37,A8,Tracker!$I$6:$I$37,"Done")</f>
        <v>0</v>
      </c>
      <c r="F8" s="7" t="n">
        <f aca="false">COUNTIFS(Tracker!$B$6:$B$37,A8,Tracker!$I$6:$I$37,"In Progress")</f>
        <v>0</v>
      </c>
      <c r="G8" s="14" t="n">
        <f aca="false">COUNTIFS(Tracker!$B$6:$B$37,A8,Tracker!$I$6:$I$37,"Blocked")</f>
        <v>0</v>
      </c>
      <c r="H8" s="15" t="n">
        <f aca="false">IFERROR(E8/D8,0)</f>
        <v>0</v>
      </c>
      <c r="I8" s="10"/>
      <c r="J8" s="10"/>
      <c r="K8" s="10"/>
    </row>
    <row r="9" customFormat="false" ht="15" hidden="false" customHeight="false" outlineLevel="0" collapsed="false">
      <c r="A9" s="12" t="n">
        <v>5</v>
      </c>
      <c r="B9" s="13" t="n">
        <f aca="false">Tracker!$C$3+A9-1</f>
        <v>46306</v>
      </c>
      <c r="C9" s="7" t="s">
        <v>38</v>
      </c>
      <c r="D9" s="7" t="n">
        <f aca="false">COUNTIF(Tracker!$B$6:$B$37,A9)</f>
        <v>2</v>
      </c>
      <c r="E9" s="7" t="n">
        <f aca="false">COUNTIFS(Tracker!$B$6:$B$37,A9,Tracker!$I$6:$I$37,"Done")</f>
        <v>0</v>
      </c>
      <c r="F9" s="7" t="n">
        <f aca="false">COUNTIFS(Tracker!$B$6:$B$37,A9,Tracker!$I$6:$I$37,"In Progress")</f>
        <v>0</v>
      </c>
      <c r="G9" s="14" t="n">
        <f aca="false">COUNTIFS(Tracker!$B$6:$B$37,A9,Tracker!$I$6:$I$37,"Blocked")</f>
        <v>0</v>
      </c>
      <c r="H9" s="15" t="n">
        <f aca="false">IFERROR(E9/D9,0)</f>
        <v>0</v>
      </c>
      <c r="I9" s="10"/>
      <c r="J9" s="10"/>
      <c r="K9" s="10"/>
    </row>
    <row r="10" customFormat="false" ht="15" hidden="false" customHeight="false" outlineLevel="0" collapsed="false">
      <c r="A10" s="12" t="n">
        <v>6</v>
      </c>
      <c r="B10" s="13" t="n">
        <f aca="false">Tracker!$C$3+A10-1</f>
        <v>46307</v>
      </c>
      <c r="C10" s="7" t="s">
        <v>38</v>
      </c>
      <c r="D10" s="7" t="n">
        <f aca="false">COUNTIF(Tracker!$B$6:$B$37,A10)</f>
        <v>3</v>
      </c>
      <c r="E10" s="7" t="n">
        <f aca="false">COUNTIFS(Tracker!$B$6:$B$37,A10,Tracker!$I$6:$I$37,"Done")</f>
        <v>0</v>
      </c>
      <c r="F10" s="7" t="n">
        <f aca="false">COUNTIFS(Tracker!$B$6:$B$37,A10,Tracker!$I$6:$I$37,"In Progress")</f>
        <v>0</v>
      </c>
      <c r="G10" s="14" t="n">
        <f aca="false">COUNTIFS(Tracker!$B$6:$B$37,A10,Tracker!$I$6:$I$37,"Blocked")</f>
        <v>0</v>
      </c>
      <c r="H10" s="15" t="n">
        <f aca="false">IFERROR(E10/D10,0)</f>
        <v>0</v>
      </c>
      <c r="I10" s="10"/>
      <c r="J10" s="10"/>
      <c r="K10" s="10"/>
    </row>
    <row r="11" customFormat="false" ht="15" hidden="false" customHeight="false" outlineLevel="0" collapsed="false">
      <c r="A11" s="12" t="n">
        <v>7</v>
      </c>
      <c r="B11" s="13" t="n">
        <f aca="false">Tracker!$C$3+A11-1</f>
        <v>46308</v>
      </c>
      <c r="C11" s="7" t="s">
        <v>63</v>
      </c>
      <c r="D11" s="7" t="n">
        <f aca="false">COUNTIF(Tracker!$B$6:$B$37,A11)</f>
        <v>2</v>
      </c>
      <c r="E11" s="7" t="n">
        <f aca="false">COUNTIFS(Tracker!$B$6:$B$37,A11,Tracker!$I$6:$I$37,"Done")</f>
        <v>0</v>
      </c>
      <c r="F11" s="7" t="n">
        <f aca="false">COUNTIFS(Tracker!$B$6:$B$37,A11,Tracker!$I$6:$I$37,"In Progress")</f>
        <v>0</v>
      </c>
      <c r="G11" s="14" t="n">
        <f aca="false">COUNTIFS(Tracker!$B$6:$B$37,A11,Tracker!$I$6:$I$37,"Blocked")</f>
        <v>0</v>
      </c>
      <c r="H11" s="15" t="n">
        <f aca="false">IFERROR(E11/D11,0)</f>
        <v>0</v>
      </c>
      <c r="I11" s="10"/>
      <c r="J11" s="10"/>
      <c r="K11" s="10"/>
    </row>
    <row r="12" customFormat="false" ht="15" hidden="false" customHeight="false" outlineLevel="0" collapsed="false">
      <c r="A12" s="12" t="n">
        <v>8</v>
      </c>
      <c r="B12" s="13" t="n">
        <f aca="false">Tracker!$C$3+A12-1</f>
        <v>46309</v>
      </c>
      <c r="C12" s="7" t="s">
        <v>63</v>
      </c>
      <c r="D12" s="7" t="n">
        <f aca="false">COUNTIF(Tracker!$B$6:$B$37,A12)</f>
        <v>3</v>
      </c>
      <c r="E12" s="7" t="n">
        <f aca="false">COUNTIFS(Tracker!$B$6:$B$37,A12,Tracker!$I$6:$I$37,"Done")</f>
        <v>0</v>
      </c>
      <c r="F12" s="7" t="n">
        <f aca="false">COUNTIFS(Tracker!$B$6:$B$37,A12,Tracker!$I$6:$I$37,"In Progress")</f>
        <v>0</v>
      </c>
      <c r="G12" s="14" t="n">
        <f aca="false">COUNTIFS(Tracker!$B$6:$B$37,A12,Tracker!$I$6:$I$37,"Blocked")</f>
        <v>0</v>
      </c>
      <c r="H12" s="15" t="n">
        <f aca="false">IFERROR(E12/D12,0)</f>
        <v>0</v>
      </c>
      <c r="I12" s="10"/>
      <c r="J12" s="10"/>
      <c r="K12" s="10"/>
    </row>
    <row r="13" customFormat="false" ht="15" hidden="false" customHeight="false" outlineLevel="0" collapsed="false">
      <c r="A13" s="12" t="n">
        <v>9</v>
      </c>
      <c r="B13" s="13" t="n">
        <f aca="false">Tracker!$C$3+A13-1</f>
        <v>46310</v>
      </c>
      <c r="C13" s="7" t="s">
        <v>63</v>
      </c>
      <c r="D13" s="7" t="n">
        <f aca="false">COUNTIF(Tracker!$B$6:$B$37,A13)</f>
        <v>3</v>
      </c>
      <c r="E13" s="7" t="n">
        <f aca="false">COUNTIFS(Tracker!$B$6:$B$37,A13,Tracker!$I$6:$I$37,"Done")</f>
        <v>0</v>
      </c>
      <c r="F13" s="7" t="n">
        <f aca="false">COUNTIFS(Tracker!$B$6:$B$37,A13,Tracker!$I$6:$I$37,"In Progress")</f>
        <v>0</v>
      </c>
      <c r="G13" s="14" t="n">
        <f aca="false">COUNTIFS(Tracker!$B$6:$B$37,A13,Tracker!$I$6:$I$37,"Blocked")</f>
        <v>0</v>
      </c>
      <c r="H13" s="15" t="n">
        <f aca="false">IFERROR(E13/D13,0)</f>
        <v>0</v>
      </c>
      <c r="I13" s="10"/>
      <c r="J13" s="10"/>
      <c r="K13" s="10"/>
    </row>
    <row r="14" customFormat="false" ht="15" hidden="false" customHeight="false" outlineLevel="0" collapsed="false">
      <c r="A14" s="12" t="n">
        <v>10</v>
      </c>
      <c r="B14" s="13" t="n">
        <f aca="false">Tracker!$C$3+A14-1</f>
        <v>46311</v>
      </c>
      <c r="C14" s="7" t="s">
        <v>82</v>
      </c>
      <c r="D14" s="7" t="n">
        <f aca="false">COUNTIF(Tracker!$B$6:$B$37,A14)</f>
        <v>2</v>
      </c>
      <c r="E14" s="7" t="n">
        <f aca="false">COUNTIFS(Tracker!$B$6:$B$37,A14,Tracker!$I$6:$I$37,"Done")</f>
        <v>0</v>
      </c>
      <c r="F14" s="7" t="n">
        <f aca="false">COUNTIFS(Tracker!$B$6:$B$37,A14,Tracker!$I$6:$I$37,"In Progress")</f>
        <v>0</v>
      </c>
      <c r="G14" s="14" t="n">
        <f aca="false">COUNTIFS(Tracker!$B$6:$B$37,A14,Tracker!$I$6:$I$37,"Blocked")</f>
        <v>0</v>
      </c>
      <c r="H14" s="15" t="n">
        <f aca="false">IFERROR(E14/D14,0)</f>
        <v>0</v>
      </c>
      <c r="I14" s="10"/>
      <c r="J14" s="10"/>
      <c r="K14" s="10"/>
    </row>
    <row r="15" customFormat="false" ht="15" hidden="false" customHeight="false" outlineLevel="0" collapsed="false">
      <c r="A15" s="12" t="n">
        <v>11</v>
      </c>
      <c r="B15" s="13" t="n">
        <f aca="false">Tracker!$C$3+A15-1</f>
        <v>46312</v>
      </c>
      <c r="C15" s="7" t="s">
        <v>82</v>
      </c>
      <c r="D15" s="7" t="n">
        <f aca="false">COUNTIF(Tracker!$B$6:$B$37,A15)</f>
        <v>3</v>
      </c>
      <c r="E15" s="7" t="n">
        <f aca="false">COUNTIFS(Tracker!$B$6:$B$37,A15,Tracker!$I$6:$I$37,"Done")</f>
        <v>0</v>
      </c>
      <c r="F15" s="7" t="n">
        <f aca="false">COUNTIFS(Tracker!$B$6:$B$37,A15,Tracker!$I$6:$I$37,"In Progress")</f>
        <v>0</v>
      </c>
      <c r="G15" s="14" t="n">
        <f aca="false">COUNTIFS(Tracker!$B$6:$B$37,A15,Tracker!$I$6:$I$37,"Blocked")</f>
        <v>0</v>
      </c>
      <c r="H15" s="15" t="n">
        <f aca="false">IFERROR(E15/D15,0)</f>
        <v>0</v>
      </c>
      <c r="I15" s="10"/>
      <c r="J15" s="10"/>
      <c r="K15" s="10"/>
    </row>
    <row r="16" customFormat="false" ht="15" hidden="false" customHeight="false" outlineLevel="0" collapsed="false">
      <c r="A16" s="12" t="n">
        <v>12</v>
      </c>
      <c r="B16" s="13" t="n">
        <f aca="false">Tracker!$C$3+A16-1</f>
        <v>46313</v>
      </c>
      <c r="C16" s="7" t="s">
        <v>112</v>
      </c>
      <c r="D16" s="7" t="n">
        <f aca="false">COUNTIF(Tracker!$B$6:$B$37,A16)</f>
        <v>4</v>
      </c>
      <c r="E16" s="7" t="n">
        <f aca="false">COUNTIFS(Tracker!$B$6:$B$37,A16,Tracker!$I$6:$I$37,"Done")</f>
        <v>0</v>
      </c>
      <c r="F16" s="7" t="n">
        <f aca="false">COUNTIFS(Tracker!$B$6:$B$37,A16,Tracker!$I$6:$I$37,"In Progress")</f>
        <v>0</v>
      </c>
      <c r="G16" s="14" t="n">
        <f aca="false">COUNTIFS(Tracker!$B$6:$B$37,A16,Tracker!$I$6:$I$37,"Blocked")</f>
        <v>0</v>
      </c>
      <c r="H16" s="15" t="n">
        <f aca="false">IFERROR(E16/D16,0)</f>
        <v>0</v>
      </c>
      <c r="I16" s="10"/>
      <c r="J16" s="10"/>
      <c r="K16" s="10"/>
    </row>
    <row r="17" customFormat="false" ht="15" hidden="false" customHeight="false" outlineLevel="0" collapsed="false">
      <c r="A17" s="16" t="s">
        <v>113</v>
      </c>
      <c r="D17" s="16" t="n">
        <f aca="false">SUM(D5:D16)</f>
        <v>32</v>
      </c>
      <c r="E17" s="16" t="n">
        <f aca="false">SUM(E5:E16)</f>
        <v>0</v>
      </c>
      <c r="F17" s="16" t="n">
        <f aca="false">SUM(F5:F16)</f>
        <v>0</v>
      </c>
      <c r="G17" s="16" t="n">
        <f aca="false">SUM(G5:G16)</f>
        <v>0</v>
      </c>
      <c r="H17" s="17" t="n">
        <f aca="false">IFERROR(E17/D17,0)</f>
        <v>0</v>
      </c>
      <c r="I17" s="16" t="n">
        <f aca="false">SUM(I5:I16)</f>
        <v>0</v>
      </c>
      <c r="J17" s="16" t="n">
        <f aca="false">SUM(J5:J16)</f>
        <v>0</v>
      </c>
    </row>
  </sheetData>
  <conditionalFormatting sqref="G5:G16">
    <cfRule type="cellIs" priority="2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18" t="s">
        <v>115</v>
      </c>
    </row>
    <row r="4" customFormat="false" ht="15" hidden="false" customHeight="false" outlineLevel="0" collapsed="false">
      <c r="A4" s="18" t="s">
        <v>116</v>
      </c>
    </row>
    <row r="5" customFormat="false" ht="15" hidden="false" customHeight="false" outlineLevel="0" collapsed="false">
      <c r="A5" s="18" t="s">
        <v>117</v>
      </c>
    </row>
    <row r="6" customFormat="false" ht="15" hidden="false" customHeight="false" outlineLevel="0" collapsed="false">
      <c r="A6" s="18" t="s">
        <v>118</v>
      </c>
    </row>
    <row r="7" customFormat="false" ht="15" hidden="false" customHeight="false" outlineLevel="0" collapsed="false">
      <c r="A7" s="18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2026-10-07T07:09:09Z</dcterms:created>
  <dc:creator>openpyxl</dc:creator>
  <dc:description/>
  <dc:language>en-US</dc:language>
  <cp:lastModifiedBy/>
  <dcterms:modified xsi:type="dcterms:W3CDTF">2026-10-07T07:09:09Z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